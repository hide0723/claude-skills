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使い方" sheetId="1" state="visible" r:id="rId3"/>
    <sheet name="②顧問先マスター" sheetId="2" state="visible" r:id="rId4"/>
    <sheet name="③集計ダッシュボード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<sst xmlns="http://schemas.openxmlformats.org/spreadsheetml/2006/main" count="1760" uniqueCount="737">
  <si>
    <r>
      <rPr>
        <b val="true"/>
        <sz val="14"/>
        <rFont val="WenQuanYi Zen Hei"/>
        <family val="2"/>
      </rPr>
      <t xml:space="preserve">中位</t>
    </r>
    <r>
      <rPr>
        <b val="true"/>
        <sz val="14"/>
        <rFont val="Yu Gothic"/>
        <family val="0"/>
        <charset val="1"/>
      </rPr>
      <t xml:space="preserve">60%</t>
    </r>
    <r>
      <rPr>
        <b val="true"/>
        <sz val="14"/>
        <rFont val="WenQuanYi Zen Hei"/>
        <family val="2"/>
      </rPr>
      <t xml:space="preserve">アップセル機会表（福田会計・営業</t>
    </r>
    <r>
      <rPr>
        <b val="true"/>
        <sz val="14"/>
        <rFont val="Yu Gothic"/>
        <family val="0"/>
        <charset val="1"/>
      </rPr>
      <t xml:space="preserve">C-1</t>
    </r>
    <r>
      <rPr>
        <b val="true"/>
        <sz val="14"/>
        <rFont val="WenQuanYi Zen Hei"/>
        <family val="2"/>
      </rPr>
      <t xml:space="preserve">既存）</t>
    </r>
  </si>
  <si>
    <r>
      <rPr>
        <sz val="10"/>
        <rFont val="WenQuanYi Zen Hei"/>
        <family val="2"/>
      </rPr>
      <t xml:space="preserve">作成日</t>
    </r>
    <r>
      <rPr>
        <sz val="10"/>
        <rFont val="Yu Gothic"/>
        <family val="0"/>
        <charset val="1"/>
      </rPr>
      <t xml:space="preserve">: 2026-07-18 </t>
    </r>
    <r>
      <rPr>
        <sz val="10"/>
        <rFont val="WenQuanYi Zen Hei"/>
        <family val="2"/>
      </rPr>
      <t xml:space="preserve">／ 基準</t>
    </r>
    <r>
      <rPr>
        <sz val="10"/>
        <rFont val="Yu Gothic"/>
        <family val="0"/>
        <charset val="1"/>
      </rPr>
      <t xml:space="preserve">: LTV</t>
    </r>
    <r>
      <rPr>
        <sz val="10"/>
        <rFont val="WenQuanYi Zen Hei"/>
        <family val="2"/>
      </rPr>
      <t xml:space="preserve">測定</t>
    </r>
    <r>
      <rPr>
        <sz val="10"/>
        <rFont val="Yu Gothic"/>
        <family val="0"/>
        <charset val="1"/>
      </rPr>
      <t xml:space="preserve">v1</t>
    </r>
    <r>
      <rPr>
        <sz val="10"/>
        <rFont val="WenQuanYi Zen Hei"/>
        <family val="2"/>
      </rPr>
      <t xml:space="preserve">（税務顧問</t>
    </r>
    <r>
      <rPr>
        <sz val="10"/>
        <rFont val="Yu Gothic"/>
        <family val="0"/>
        <charset val="1"/>
      </rPr>
      <t xml:space="preserve">171</t>
    </r>
    <r>
      <rPr>
        <sz val="10"/>
        <rFont val="WenQuanYi Zen Hei"/>
        <family val="2"/>
      </rPr>
      <t xml:space="preserve">件・契約報酬合計</t>
    </r>
    <r>
      <rPr>
        <sz val="10"/>
        <rFont val="Yu Gothic"/>
        <family val="0"/>
        <charset val="1"/>
      </rPr>
      <t xml:space="preserve">7,253</t>
    </r>
    <r>
      <rPr>
        <sz val="10"/>
        <rFont val="WenQuanYi Zen Hei"/>
        <family val="2"/>
      </rPr>
      <t xml:space="preserve">万円・上位</t>
    </r>
    <r>
      <rPr>
        <sz val="10"/>
        <rFont val="Yu Gothic"/>
        <family val="0"/>
        <charset val="1"/>
      </rPr>
      <t xml:space="preserve">20%(35</t>
    </r>
    <r>
      <rPr>
        <sz val="10"/>
        <rFont val="WenQuanYi Zen Hei"/>
        <family val="2"/>
      </rPr>
      <t xml:space="preserve">件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で売上</t>
    </r>
    <r>
      <rPr>
        <sz val="10"/>
        <rFont val="Yu Gothic"/>
        <family val="0"/>
        <charset val="1"/>
      </rPr>
      <t xml:space="preserve">46%</t>
    </r>
    <r>
      <rPr>
        <sz val="10"/>
        <rFont val="WenQuanYi Zen Hei"/>
        <family val="2"/>
      </rPr>
      <t xml:space="preserve">）</t>
    </r>
  </si>
  <si>
    <t xml:space="preserve">■ 目的</t>
  </si>
  <si>
    <r>
      <rPr>
        <sz val="10"/>
        <rFont val="WenQuanYi Zen Hei"/>
        <family val="2"/>
      </rPr>
      <t xml:space="preserve">　中位</t>
    </r>
    <r>
      <rPr>
        <sz val="10"/>
        <rFont val="Yu Gothic"/>
        <family val="0"/>
        <charset val="1"/>
      </rPr>
      <t xml:space="preserve">60%</t>
    </r>
    <r>
      <rPr>
        <sz val="10"/>
        <rFont val="WenQuanYi Zen Hei"/>
        <family val="2"/>
      </rPr>
      <t xml:space="preserve">層（</t>
    </r>
    <r>
      <rPr>
        <sz val="10"/>
        <rFont val="Yu Gothic"/>
        <family val="0"/>
        <charset val="1"/>
      </rPr>
      <t xml:space="preserve">LTV</t>
    </r>
    <r>
      <rPr>
        <sz val="10"/>
        <rFont val="WenQuanYi Zen Hei"/>
        <family val="2"/>
      </rPr>
      <t xml:space="preserve">測定</t>
    </r>
    <r>
      <rPr>
        <sz val="10"/>
        <rFont val="Yu Gothic"/>
        <family val="0"/>
        <charset val="1"/>
      </rPr>
      <t xml:space="preserve">v1</t>
    </r>
    <r>
      <rPr>
        <sz val="10"/>
        <rFont val="WenQuanYi Zen Hei"/>
        <family val="2"/>
      </rPr>
      <t xml:space="preserve">では約</t>
    </r>
    <r>
      <rPr>
        <sz val="10"/>
        <rFont val="Yu Gothic"/>
        <family val="0"/>
        <charset val="1"/>
      </rPr>
      <t xml:space="preserve">103</t>
    </r>
    <r>
      <rPr>
        <sz val="10"/>
        <rFont val="WenQuanYi Zen Hei"/>
        <family val="2"/>
      </rPr>
      <t xml:space="preserve">先）に対し、</t>
    </r>
    <r>
      <rPr>
        <sz val="10"/>
        <rFont val="Yu Gothic"/>
        <family val="0"/>
        <charset val="1"/>
      </rPr>
      <t xml:space="preserve">+10</t>
    </r>
    <r>
      <rPr>
        <sz val="10"/>
        <rFont val="WenQuanYi Zen Hei"/>
        <family val="2"/>
      </rPr>
      <t xml:space="preserve">万円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社のアップセル機会を可視化し、提案先と提案商品を確定する。</t>
    </r>
  </si>
  <si>
    <r>
      <rPr>
        <b val="true"/>
        <sz val="10"/>
        <rFont val="WenQuanYi Zen Hei"/>
        <family val="2"/>
      </rPr>
      <t xml:space="preserve">■ 使い方（</t>
    </r>
    <r>
      <rPr>
        <b val="true"/>
        <sz val="10"/>
        <rFont val="Yu Gothic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ステップ）</t>
    </r>
  </si>
  <si>
    <r>
      <rPr>
        <sz val="10"/>
        <rFont val="WenQuanYi Zen Hei"/>
        <family val="2"/>
      </rPr>
      <t xml:space="preserve">　</t>
    </r>
    <r>
      <rPr>
        <sz val="10"/>
        <rFont val="Yu Gothic"/>
        <family val="0"/>
        <charset val="1"/>
      </rPr>
      <t xml:space="preserve">STEP1: </t>
    </r>
    <r>
      <rPr>
        <sz val="10"/>
        <rFont val="WenQuanYi Zen Hei"/>
        <family val="2"/>
      </rPr>
      <t xml:space="preserve">シート②の黄色セル「年間契約報酬」に、</t>
    </r>
    <r>
      <rPr>
        <sz val="10"/>
        <rFont val="Yu Gothic"/>
        <family val="0"/>
        <charset val="1"/>
      </rPr>
      <t xml:space="preserve">MJS/</t>
    </r>
    <r>
      <rPr>
        <sz val="10"/>
        <rFont val="WenQuanYi Zen Hei"/>
        <family val="2"/>
      </rPr>
      <t xml:space="preserve">マネーフォワードの契約データから年間報酬（税抜・円）を転記する。</t>
    </r>
  </si>
  <si>
    <r>
      <rPr>
        <sz val="10"/>
        <rFont val="WenQuanYi Zen Hei"/>
        <family val="2"/>
      </rPr>
      <t xml:space="preserve">　　　　→ 入力すると「層判定」（上位</t>
    </r>
    <r>
      <rPr>
        <sz val="10"/>
        <rFont val="Yu Gothic"/>
        <family val="0"/>
        <charset val="1"/>
      </rPr>
      <t xml:space="preserve">20%</t>
    </r>
    <r>
      <rPr>
        <sz val="10"/>
        <rFont val="WenQuanYi Zen Hei"/>
        <family val="2"/>
      </rPr>
      <t xml:space="preserve">／中位</t>
    </r>
    <r>
      <rPr>
        <sz val="10"/>
        <rFont val="Yu Gothic"/>
        <family val="0"/>
        <charset val="1"/>
      </rPr>
      <t xml:space="preserve">60%</t>
    </r>
    <r>
      <rPr>
        <sz val="10"/>
        <rFont val="WenQuanYi Zen Hei"/>
        <family val="2"/>
      </rPr>
      <t xml:space="preserve">／下位</t>
    </r>
    <r>
      <rPr>
        <sz val="10"/>
        <rFont val="Yu Gothic"/>
        <family val="0"/>
        <charset val="1"/>
      </rPr>
      <t xml:space="preserve">20%</t>
    </r>
    <r>
      <rPr>
        <sz val="10"/>
        <rFont val="WenQuanYi Zen Hei"/>
        <family val="2"/>
      </rPr>
      <t xml:space="preserve">）が自動計算される。</t>
    </r>
  </si>
  <si>
    <r>
      <rPr>
        <sz val="10"/>
        <rFont val="WenQuanYi Zen Hei"/>
        <family val="2"/>
      </rPr>
      <t xml:space="preserve">　</t>
    </r>
    <r>
      <rPr>
        <sz val="10"/>
        <rFont val="Yu Gothic"/>
        <family val="0"/>
        <charset val="1"/>
      </rPr>
      <t xml:space="preserve">STEP2: </t>
    </r>
    <r>
      <rPr>
        <sz val="10"/>
        <rFont val="WenQuanYi Zen Hei"/>
        <family val="2"/>
      </rPr>
      <t xml:space="preserve">層判定が「中位</t>
    </r>
    <r>
      <rPr>
        <sz val="10"/>
        <rFont val="Yu Gothic"/>
        <family val="0"/>
        <charset val="1"/>
      </rPr>
      <t xml:space="preserve">60%</t>
    </r>
    <r>
      <rPr>
        <sz val="10"/>
        <rFont val="WenQuanYi Zen Hei"/>
        <family val="2"/>
      </rPr>
      <t xml:space="preserve">」の先について、戦略整合性チェック①〜⑥（該当</t>
    </r>
    <r>
      <rPr>
        <sz val="10"/>
        <rFont val="Yu Gothic"/>
        <family val="0"/>
        <charset val="1"/>
      </rPr>
      <t xml:space="preserve">=1</t>
    </r>
    <r>
      <rPr>
        <sz val="10"/>
        <rFont val="WenQuanYi Zen Hei"/>
        <family val="2"/>
      </rPr>
      <t xml:space="preserve">、非該当</t>
    </r>
    <r>
      <rPr>
        <sz val="10"/>
        <rFont val="Yu Gothic"/>
        <family val="0"/>
        <charset val="1"/>
      </rPr>
      <t xml:space="preserve">=0</t>
    </r>
    <r>
      <rPr>
        <sz val="10"/>
        <rFont val="WenQuanYi Zen Hei"/>
        <family val="2"/>
      </rPr>
      <t xml:space="preserve">）を入力する。</t>
    </r>
  </si>
  <si>
    <r>
      <rPr>
        <sz val="10"/>
        <rFont val="WenQuanYi Zen Hei"/>
        <family val="2"/>
      </rPr>
      <t xml:space="preserve">　　　　→ 整合性（高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中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低）と優先度スコアが自動計算される。「◎」列は記帳代行・関与レベルからの自動候補。</t>
    </r>
  </si>
  <si>
    <r>
      <rPr>
        <sz val="10"/>
        <rFont val="WenQuanYi Zen Hei"/>
        <family val="2"/>
      </rPr>
      <t xml:space="preserve">　</t>
    </r>
    <r>
      <rPr>
        <sz val="10"/>
        <rFont val="Yu Gothic"/>
        <family val="0"/>
        <charset val="1"/>
      </rPr>
      <t xml:space="preserve">STEP3: </t>
    </r>
    <r>
      <rPr>
        <sz val="10"/>
        <rFont val="WenQuanYi Zen Hei"/>
        <family val="2"/>
      </rPr>
      <t xml:space="preserve">優先度スコアの高い先から「提案商品（確定）」「提案額」を入力し、担当者と次アクションを決める。</t>
    </r>
  </si>
  <si>
    <t xml:space="preserve">　　　　→ シート③に層別集計・担当者別件数・増収ポテンシャルが自動集計される。</t>
  </si>
  <si>
    <t xml:space="preserve">■ 凡例</t>
  </si>
  <si>
    <t xml:space="preserve">　黄色セル＝入力欄（報酬額・チェック①〜⑥・提案内容）</t>
  </si>
  <si>
    <t xml:space="preserve">　青字セル＝事前入力済みの前提値（税務顧問対象フラグなど）。必要に応じて修正可</t>
  </si>
  <si>
    <t xml:space="preserve">　黒字セル＝自動計算（編集しない）</t>
  </si>
  <si>
    <r>
      <rPr>
        <b val="true"/>
        <sz val="10"/>
        <rFont val="WenQuanYi Zen Hei"/>
        <family val="2"/>
      </rPr>
      <t xml:space="preserve">■ 戦略整合性チェックリスト（顧問先ランク再定義 </t>
    </r>
    <r>
      <rPr>
        <b val="true"/>
        <sz val="10"/>
        <rFont val="Yu Gothic"/>
        <family val="0"/>
        <charset val="1"/>
      </rPr>
      <t xml:space="preserve">2026-04-07</t>
    </r>
    <r>
      <rPr>
        <b val="true"/>
        <sz val="10"/>
        <rFont val="WenQuanYi Zen Hei"/>
        <family val="2"/>
      </rPr>
      <t xml:space="preserve">確定版より）</t>
    </r>
  </si>
  <si>
    <r>
      <rPr>
        <sz val="10"/>
        <rFont val="WenQuanYi Zen Hei"/>
        <family val="2"/>
      </rPr>
      <t xml:space="preserve">　①★★★ クラウド会計を導入済み </t>
    </r>
    <r>
      <rPr>
        <sz val="10"/>
        <rFont val="Yu Gothic"/>
        <family val="0"/>
        <charset val="1"/>
      </rPr>
      <t xml:space="preserve">or </t>
    </r>
    <r>
      <rPr>
        <sz val="10"/>
        <rFont val="WenQuanYi Zen Hei"/>
        <family val="2"/>
      </rPr>
      <t xml:space="preserve">導入意欲あり</t>
    </r>
  </si>
  <si>
    <r>
      <rPr>
        <sz val="10"/>
        <rFont val="WenQuanYi Zen Hei"/>
        <family val="2"/>
      </rPr>
      <t xml:space="preserve">　②★★★ 創業</t>
    </r>
    <r>
      <rPr>
        <sz val="10"/>
        <rFont val="Yu Gothic"/>
        <family val="0"/>
        <charset val="1"/>
      </rPr>
      <t xml:space="preserve">5</t>
    </r>
    <r>
      <rPr>
        <sz val="10"/>
        <rFont val="WenQuanYi Zen Hei"/>
        <family val="2"/>
      </rPr>
      <t xml:space="preserve">年以内 </t>
    </r>
    <r>
      <rPr>
        <sz val="10"/>
        <rFont val="Yu Gothic"/>
        <family val="0"/>
        <charset val="1"/>
      </rPr>
      <t xml:space="preserve">or </t>
    </r>
    <r>
      <rPr>
        <sz val="10"/>
        <rFont val="WenQuanYi Zen Hei"/>
        <family val="2"/>
      </rPr>
      <t xml:space="preserve">新規事業立ち上げ中</t>
    </r>
  </si>
  <si>
    <t xml:space="preserve">　③★★☆ 相続・事業承継のニーズが見込める</t>
  </si>
  <si>
    <t xml:space="preserve">　④★★★ 経理業務の効率化に課題がある</t>
  </si>
  <si>
    <r>
      <rPr>
        <sz val="10"/>
        <rFont val="WenQuanYi Zen Hei"/>
        <family val="2"/>
      </rPr>
      <t xml:space="preserve">　⑤★★☆ </t>
    </r>
    <r>
      <rPr>
        <sz val="10"/>
        <rFont val="Yu Gothic"/>
        <family val="0"/>
        <charset val="1"/>
      </rPr>
      <t xml:space="preserve">DX</t>
    </r>
    <r>
      <rPr>
        <sz val="10"/>
        <rFont val="WenQuanYi Zen Hei"/>
        <family val="2"/>
      </rPr>
      <t xml:space="preserve">・</t>
    </r>
    <r>
      <rPr>
        <sz val="10"/>
        <rFont val="Yu Gothic"/>
        <family val="0"/>
        <charset val="1"/>
      </rPr>
      <t xml:space="preserve">IT</t>
    </r>
    <r>
      <rPr>
        <sz val="10"/>
        <rFont val="WenQuanYi Zen Hei"/>
        <family val="2"/>
      </rPr>
      <t xml:space="preserve">活用に前向き</t>
    </r>
  </si>
  <si>
    <t xml:space="preserve">　⑥★★☆ 伴走型の関与（定期面談・経営助言）を求めている</t>
  </si>
  <si>
    <r>
      <rPr>
        <sz val="10"/>
        <rFont val="WenQuanYi Zen Hei"/>
        <family val="2"/>
      </rPr>
      <t xml:space="preserve">　判定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高＝★★★</t>
    </r>
    <r>
      <rPr>
        <sz val="10"/>
        <rFont val="Yu Gothic"/>
        <family val="0"/>
        <charset val="1"/>
      </rPr>
      <t xml:space="preserve">(①②④)2</t>
    </r>
    <r>
      <rPr>
        <sz val="10"/>
        <rFont val="WenQuanYi Zen Hei"/>
        <family val="2"/>
      </rPr>
      <t xml:space="preserve">つ以上かつ合計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項目以上 ／ 中＝★★★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つ以上かつ合計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項目 ／ 低＝それ以外</t>
    </r>
  </si>
  <si>
    <r>
      <rPr>
        <b val="true"/>
        <sz val="10"/>
        <rFont val="WenQuanYi Zen Hei"/>
        <family val="2"/>
      </rPr>
      <t xml:space="preserve">■ 新商品</t>
    </r>
    <r>
      <rPr>
        <b val="true"/>
        <sz val="10"/>
        <rFont val="Yu Gothic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本柱との対応</t>
    </r>
  </si>
  <si>
    <r>
      <rPr>
        <sz val="10"/>
        <rFont val="WenQuanYi Zen Hei"/>
        <family val="2"/>
      </rPr>
      <t xml:space="preserve">　クラウド創業パック → チェック①② ／ コンパクト相続 → チェック③ ／ 経理コンサル → チェック④（記帳代行ありは自動◎） ／ 伴走型サポート → チェック⑥（関与レベル</t>
    </r>
    <r>
      <rPr>
        <sz val="10"/>
        <rFont val="Yu Gothic"/>
        <family val="0"/>
        <charset val="1"/>
      </rPr>
      <t xml:space="preserve">A/B</t>
    </r>
    <r>
      <rPr>
        <sz val="10"/>
        <rFont val="WenQuanYi Zen Hei"/>
        <family val="2"/>
      </rPr>
      <t xml:space="preserve">は自動◎）</t>
    </r>
  </si>
  <si>
    <t xml:space="preserve">■ 注記</t>
  </si>
  <si>
    <r>
      <rPr>
        <sz val="10"/>
        <rFont val="WenQuanYi Zen Hei"/>
        <family val="2"/>
      </rPr>
      <t xml:space="preserve">　・顧問先リストは「</t>
    </r>
    <r>
      <rPr>
        <sz val="10"/>
        <rFont val="Yu Gothic"/>
        <family val="0"/>
        <charset val="1"/>
      </rPr>
      <t xml:space="preserve">251101_</t>
    </r>
    <r>
      <rPr>
        <sz val="10"/>
        <rFont val="WenQuanYi Zen Hei"/>
        <family val="2"/>
      </rPr>
      <t xml:space="preserve">記帳代行顧問先</t>
    </r>
    <r>
      <rPr>
        <sz val="10"/>
        <rFont val="Yu Gothic"/>
        <family val="0"/>
        <charset val="1"/>
      </rPr>
      <t xml:space="preserve">.xlsx</t>
    </r>
    <r>
      <rPr>
        <sz val="10"/>
        <rFont val="WenQuanYi Zen Hei"/>
        <family val="2"/>
      </rPr>
      <t xml:space="preserve">」（</t>
    </r>
    <r>
      <rPr>
        <sz val="10"/>
        <rFont val="Yu Gothic"/>
        <family val="0"/>
        <charset val="1"/>
      </rPr>
      <t xml:space="preserve">2026-02</t>
    </r>
    <r>
      <rPr>
        <sz val="10"/>
        <rFont val="WenQuanYi Zen Hei"/>
        <family val="2"/>
      </rPr>
      <t xml:space="preserve">時点・関与中</t>
    </r>
    <r>
      <rPr>
        <sz val="10"/>
        <rFont val="Yu Gothic"/>
        <family val="0"/>
        <charset val="1"/>
      </rPr>
      <t xml:space="preserve">308</t>
    </r>
    <r>
      <rPr>
        <sz val="10"/>
        <rFont val="WenQuanYi Zen Hei"/>
        <family val="2"/>
      </rPr>
      <t xml:space="preserve">件）を転記。名称・担当は元データのまま。</t>
    </r>
  </si>
  <si>
    <r>
      <rPr>
        <sz val="10"/>
        <rFont val="WenQuanYi Zen Hei"/>
        <family val="2"/>
      </rPr>
      <t xml:space="preserve">　・「税務顧問対象」は法人・個人・医療法人</t>
    </r>
    <r>
      <rPr>
        <sz val="10"/>
        <rFont val="Yu Gothic"/>
        <family val="0"/>
        <charset val="1"/>
      </rPr>
      <t xml:space="preserve">=1</t>
    </r>
    <r>
      <rPr>
        <sz val="10"/>
        <rFont val="WenQuanYi Zen Hei"/>
        <family val="2"/>
      </rPr>
      <t xml:space="preserve">、相続スポット・公共</t>
    </r>
    <r>
      <rPr>
        <sz val="10"/>
        <rFont val="Yu Gothic"/>
        <family val="0"/>
        <charset val="1"/>
      </rPr>
      <t xml:space="preserve">=0</t>
    </r>
    <r>
      <rPr>
        <sz val="10"/>
        <rFont val="WenQuanYi Zen Hei"/>
        <family val="2"/>
      </rPr>
      <t xml:space="preserve">を事前設定（青字）。実態に合わせて修正のこと。</t>
    </r>
  </si>
  <si>
    <r>
      <rPr>
        <sz val="10"/>
        <rFont val="WenQuanYi Zen Hei"/>
        <family val="2"/>
      </rPr>
      <t xml:space="preserve">　・層判定は「税務顧問対象</t>
    </r>
    <r>
      <rPr>
        <sz val="10"/>
        <rFont val="Yu Gothic"/>
        <family val="0"/>
        <charset val="1"/>
      </rPr>
      <t xml:space="preserve">=1</t>
    </r>
    <r>
      <rPr>
        <sz val="10"/>
        <rFont val="WenQuanYi Zen Hei"/>
        <family val="2"/>
      </rPr>
      <t xml:space="preserve">かつ報酬入力済み」の先だけを母集団として毎回再計算される（件数が</t>
    </r>
    <r>
      <rPr>
        <sz val="10"/>
        <rFont val="Yu Gothic"/>
        <family val="0"/>
        <charset val="1"/>
      </rPr>
      <t xml:space="preserve">171</t>
    </r>
    <r>
      <rPr>
        <sz val="10"/>
        <rFont val="WenQuanYi Zen Hei"/>
        <family val="2"/>
      </rPr>
      <t xml:space="preserve">件と一致しなくても機能する）。</t>
    </r>
  </si>
  <si>
    <t xml:space="preserve">顧問先マスター＆アップセル判定表</t>
  </si>
  <si>
    <r>
      <rPr>
        <sz val="10"/>
        <rFont val="WenQuanYi Zen Hei"/>
        <family val="2"/>
      </rPr>
      <t xml:space="preserve">黄色</t>
    </r>
    <r>
      <rPr>
        <sz val="10"/>
        <rFont val="Yu Gothic"/>
        <family val="0"/>
        <charset val="1"/>
      </rPr>
      <t xml:space="preserve">=</t>
    </r>
    <r>
      <rPr>
        <sz val="10"/>
        <rFont val="WenQuanYi Zen Hei"/>
        <family val="2"/>
      </rPr>
      <t xml:space="preserve">入力欄 ／ 青字</t>
    </r>
    <r>
      <rPr>
        <sz val="10"/>
        <rFont val="Yu Gothic"/>
        <family val="0"/>
        <charset val="1"/>
      </rPr>
      <t xml:space="preserve">=</t>
    </r>
    <r>
      <rPr>
        <sz val="10"/>
        <rFont val="WenQuanYi Zen Hei"/>
        <family val="2"/>
      </rPr>
      <t xml:space="preserve">事前設定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修正可</t>
    </r>
    <r>
      <rPr>
        <sz val="10"/>
        <rFont val="Yu Gothic"/>
        <family val="0"/>
        <charset val="1"/>
      </rPr>
      <t xml:space="preserve">) </t>
    </r>
    <r>
      <rPr>
        <sz val="10"/>
        <rFont val="WenQuanYi Zen Hei"/>
        <family val="2"/>
      </rPr>
      <t xml:space="preserve">／ 黒字</t>
    </r>
    <r>
      <rPr>
        <sz val="10"/>
        <rFont val="Yu Gothic"/>
        <family val="0"/>
        <charset val="1"/>
      </rPr>
      <t xml:space="preserve">=</t>
    </r>
    <r>
      <rPr>
        <sz val="10"/>
        <rFont val="WenQuanYi Zen Hei"/>
        <family val="2"/>
      </rPr>
      <t xml:space="preserve">自動計算。行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は入力例（集計対象外）。</t>
    </r>
  </si>
  <si>
    <t xml:space="preserve">コード</t>
  </si>
  <si>
    <t xml:space="preserve">顧問先名称</t>
  </si>
  <si>
    <t xml:space="preserve">区分</t>
  </si>
  <si>
    <t xml:space="preserve">決算月</t>
  </si>
  <si>
    <t xml:space="preserve">主担当者</t>
  </si>
  <si>
    <t xml:space="preserve">記帳代行</t>
  </si>
  <si>
    <t xml:space="preserve">関与レベル</t>
  </si>
  <si>
    <r>
      <rPr>
        <b val="true"/>
        <sz val="10"/>
        <color rgb="FFFFFFFF"/>
        <rFont val="WenQuanYi Zen Hei"/>
        <family val="2"/>
      </rPr>
      <t xml:space="preserve">税務顧問対象
</t>
    </r>
    <r>
      <rPr>
        <b val="true"/>
        <sz val="10"/>
        <color rgb="FFFFFFFF"/>
        <rFont val="Yu Gothic"/>
        <family val="0"/>
        <charset val="1"/>
      </rPr>
      <t xml:space="preserve">(1/0)</t>
    </r>
  </si>
  <si>
    <r>
      <rPr>
        <b val="true"/>
        <sz val="10"/>
        <color rgb="FFFFFFFF"/>
        <rFont val="WenQuanYi Zen Hei"/>
        <family val="2"/>
      </rPr>
      <t xml:space="preserve">年間契約報酬
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円・税抜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</si>
  <si>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有効</t>
  </si>
  <si>
    <t xml:space="preserve">報酬順位</t>
  </si>
  <si>
    <t xml:space="preserve">層判定</t>
  </si>
  <si>
    <t xml:space="preserve">経理コンサル
候補</t>
  </si>
  <si>
    <t xml:space="preserve">伴走型
候補</t>
  </si>
  <si>
    <r>
      <rPr>
        <b val="true"/>
        <sz val="10"/>
        <color rgb="FFFFFFFF"/>
        <rFont val="WenQuanYi Zen Hei"/>
        <family val="2"/>
      </rPr>
      <t xml:space="preserve">クラウド創業
候補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手入力○</t>
    </r>
    <r>
      <rPr>
        <b val="true"/>
        <sz val="10"/>
        <color rgb="FFFFFFFF"/>
        <rFont val="Yu Gothic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</si>
  <si>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コンパクト相続
候補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手入力○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</si>
  <si>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チェック①
クラウド</t>
  </si>
  <si>
    <r>
      <rPr>
        <b val="true"/>
        <sz val="10"/>
        <color rgb="FFFFFFFF"/>
        <rFont val="WenQuanYi Zen Hei"/>
        <family val="2"/>
      </rPr>
      <t xml:space="preserve">チェック②
創業</t>
    </r>
    <r>
      <rPr>
        <b val="true"/>
        <sz val="10"/>
        <color rgb="FFFFFFFF"/>
        <rFont val="Yu Gothic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年</t>
    </r>
  </si>
  <si>
    <t xml:space="preserve">チェック③
相続承継</t>
  </si>
  <si>
    <t xml:space="preserve">チェック④
経理課題</t>
  </si>
  <si>
    <r>
      <rPr>
        <b val="true"/>
        <sz val="10"/>
        <color rgb="FFFFFFFF"/>
        <rFont val="WenQuanYi Zen Hei"/>
        <family val="2"/>
      </rPr>
      <t xml:space="preserve">チェック⑤
</t>
    </r>
    <r>
      <rPr>
        <b val="true"/>
        <sz val="10"/>
        <color rgb="FFFFFFFF"/>
        <rFont val="Yu Gothic"/>
        <family val="0"/>
        <charset val="1"/>
      </rPr>
      <t xml:space="preserve">DX</t>
    </r>
  </si>
  <si>
    <t xml:space="preserve">チェック⑥
伴走</t>
  </si>
  <si>
    <t xml:space="preserve">戦略整合性</t>
  </si>
  <si>
    <t xml:space="preserve">優先度スコア</t>
  </si>
  <si>
    <t xml:space="preserve">提案商品
（確定）</t>
  </si>
  <si>
    <r>
      <rPr>
        <b val="true"/>
        <sz val="10"/>
        <color rgb="FFFFFFFF"/>
        <rFont val="WenQuanYi Zen Hei"/>
        <family val="2"/>
      </rPr>
      <t xml:space="preserve">提案額
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</si>
  <si>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次アクション</t>
  </si>
  <si>
    <t xml:space="preserve">ステータス</t>
  </si>
  <si>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例</t>
    </r>
    <r>
      <rPr>
        <sz val="10"/>
        <rFont val="Yu Gothic"/>
        <family val="0"/>
        <charset val="1"/>
      </rPr>
      <t xml:space="preserve">)10999999</t>
    </r>
  </si>
  <si>
    <t xml:space="preserve">株式会社サンプル商事</t>
  </si>
  <si>
    <t xml:space="preserve">法人</t>
  </si>
  <si>
    <t xml:space="preserve">福田　秀幸</t>
  </si>
  <si>
    <t xml:space="preserve">あり</t>
  </si>
  <si>
    <r>
      <rPr>
        <sz val="10"/>
        <rFont val="Yu Gothic"/>
        <family val="0"/>
        <charset val="1"/>
      </rPr>
      <t xml:space="preserve">C:</t>
    </r>
    <r>
      <rPr>
        <sz val="10"/>
        <rFont val="WenQuanYi Zen Hei"/>
        <family val="2"/>
      </rPr>
      <t xml:space="preserve">総勘定元帳の記帳から決算、申告、税務代理まで</t>
    </r>
  </si>
  <si>
    <t xml:space="preserve">—</t>
  </si>
  <si>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例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中位</t>
    </r>
    <r>
      <rPr>
        <sz val="10"/>
        <rFont val="Yu Gothic"/>
        <family val="0"/>
        <charset val="1"/>
      </rPr>
      <t xml:space="preserve">60%</t>
    </r>
  </si>
  <si>
    <t xml:space="preserve">◎</t>
  </si>
  <si>
    <t xml:space="preserve">○</t>
  </si>
  <si>
    <t xml:space="preserve">高</t>
  </si>
  <si>
    <t xml:space="preserve">経理コンサル</t>
  </si>
  <si>
    <r>
      <rPr>
        <sz val="10"/>
        <color rgb="FF0000FF"/>
        <rFont val="Yu Gothic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月面談で経理体制ヒアリング</t>
    </r>
  </si>
  <si>
    <t xml:space="preserve">提案準備中</t>
  </si>
  <si>
    <t xml:space="preserve">10100002</t>
  </si>
  <si>
    <t xml:space="preserve">株式会社　お茶のうちだ</t>
  </si>
  <si>
    <t xml:space="preserve">荻原　真之</t>
  </si>
  <si>
    <r>
      <rPr>
        <sz val="10"/>
        <rFont val="Yu Gothic"/>
        <family val="0"/>
        <charset val="1"/>
      </rPr>
      <t xml:space="preserve">A:</t>
    </r>
    <r>
      <rPr>
        <sz val="10"/>
        <rFont val="WenQuanYi Zen Hei"/>
        <family val="2"/>
      </rPr>
      <t xml:space="preserve">伝票作成から決算、申告、税務代理まで</t>
    </r>
  </si>
  <si>
    <t xml:space="preserve">10100008</t>
  </si>
  <si>
    <t xml:space="preserve">株式会社　アルファライフ</t>
  </si>
  <si>
    <t xml:space="preserve">福田　純夫</t>
  </si>
  <si>
    <t xml:space="preserve">なし</t>
  </si>
  <si>
    <t xml:space="preserve">10200004</t>
  </si>
  <si>
    <t xml:space="preserve">株式会社　横島園</t>
  </si>
  <si>
    <t xml:space="preserve">田村　未帆</t>
  </si>
  <si>
    <t xml:space="preserve">10200006</t>
  </si>
  <si>
    <t xml:space="preserve">株式会社　山策</t>
  </si>
  <si>
    <t xml:space="preserve">10200007</t>
  </si>
  <si>
    <t xml:space="preserve">株式会社　創造生活</t>
  </si>
  <si>
    <r>
      <rPr>
        <sz val="10"/>
        <rFont val="Yu Gothic"/>
        <family val="0"/>
        <charset val="1"/>
      </rPr>
      <t xml:space="preserve">D:</t>
    </r>
    <r>
      <rPr>
        <sz val="10"/>
        <rFont val="WenQuanYi Zen Hei"/>
        <family val="2"/>
      </rPr>
      <t xml:space="preserve">決算書の作成から申告、税務代理まで</t>
    </r>
  </si>
  <si>
    <t xml:space="preserve">10200010</t>
  </si>
  <si>
    <t xml:space="preserve">有限会社　玉木製作所</t>
  </si>
  <si>
    <t xml:space="preserve">越沼　浩美</t>
  </si>
  <si>
    <t xml:space="preserve">10200013</t>
  </si>
  <si>
    <t xml:space="preserve">株式会社　東洋企画</t>
  </si>
  <si>
    <t xml:space="preserve">和田　小百合</t>
  </si>
  <si>
    <t xml:space="preserve">10200015</t>
  </si>
  <si>
    <t xml:space="preserve">株式会社　ナノグラスコーティング</t>
  </si>
  <si>
    <t xml:space="preserve">10200016</t>
  </si>
  <si>
    <t xml:space="preserve">株式会社　トップ・アシスト</t>
  </si>
  <si>
    <t xml:space="preserve">10200017</t>
  </si>
  <si>
    <t xml:space="preserve">ヒルインターナショナル　株式会社</t>
  </si>
  <si>
    <t xml:space="preserve">松崎　恵</t>
  </si>
  <si>
    <t xml:space="preserve">10300001</t>
  </si>
  <si>
    <t xml:space="preserve">ＣＥＳホールディングス　株式会社</t>
  </si>
  <si>
    <t xml:space="preserve">10300004</t>
  </si>
  <si>
    <t xml:space="preserve">コアデザイン　株式会社</t>
  </si>
  <si>
    <t xml:space="preserve">10300008</t>
  </si>
  <si>
    <t xml:space="preserve">医療法人　日望会</t>
  </si>
  <si>
    <t xml:space="preserve">10300010</t>
  </si>
  <si>
    <t xml:space="preserve">株式会社　ＦＭ桐生</t>
  </si>
  <si>
    <r>
      <rPr>
        <sz val="10"/>
        <rFont val="Yu Gothic"/>
        <family val="0"/>
        <charset val="1"/>
      </rPr>
      <t xml:space="preserve">B:</t>
    </r>
    <r>
      <rPr>
        <sz val="10"/>
        <rFont val="WenQuanYi Zen Hei"/>
        <family val="2"/>
      </rPr>
      <t xml:space="preserve">補助簿の記帳から決算、申告、税務代理まで</t>
    </r>
  </si>
  <si>
    <t xml:space="preserve">10300011</t>
  </si>
  <si>
    <t xml:space="preserve">株式会社　ｉ４</t>
  </si>
  <si>
    <t xml:space="preserve">10300012</t>
  </si>
  <si>
    <t xml:space="preserve">株式会社　ＮＡＮＫＵＲＵ</t>
  </si>
  <si>
    <t xml:space="preserve">10300013</t>
  </si>
  <si>
    <t xml:space="preserve">株式会社　カネジン</t>
  </si>
  <si>
    <t xml:space="preserve">柳　陽平</t>
  </si>
  <si>
    <t xml:space="preserve">10300014</t>
  </si>
  <si>
    <t xml:space="preserve">株式会社　コメヤ商店</t>
  </si>
  <si>
    <t xml:space="preserve">10300015</t>
  </si>
  <si>
    <t xml:space="preserve">株式会社　ワコー住建</t>
  </si>
  <si>
    <t xml:space="preserve">10300017</t>
  </si>
  <si>
    <t xml:space="preserve">株式会社　Ｇｒｅｅｎ　Ｃａｍｐ</t>
  </si>
  <si>
    <t xml:space="preserve">10300018</t>
  </si>
  <si>
    <t xml:space="preserve">協同組合　川内ガス供給センター</t>
  </si>
  <si>
    <t xml:space="preserve">10300019</t>
  </si>
  <si>
    <t xml:space="preserve">社会福祉法人　有為会</t>
  </si>
  <si>
    <t xml:space="preserve">10300021</t>
  </si>
  <si>
    <t xml:space="preserve">東武振興　株式会社</t>
  </si>
  <si>
    <t xml:space="preserve">10300025</t>
  </si>
  <si>
    <t xml:space="preserve">有限会社　群馬中部運送</t>
  </si>
  <si>
    <t xml:space="preserve">10300026</t>
  </si>
  <si>
    <t xml:space="preserve">有限会社　アールファイルプランニング</t>
  </si>
  <si>
    <t xml:space="preserve">10300027</t>
  </si>
  <si>
    <t xml:space="preserve">有限会社　日の出製作所</t>
  </si>
  <si>
    <t xml:space="preserve">10300028</t>
  </si>
  <si>
    <t xml:space="preserve">地域計画　株式会社</t>
  </si>
  <si>
    <t xml:space="preserve">10300030</t>
  </si>
  <si>
    <t xml:space="preserve">株式会社　服飾工房絲</t>
  </si>
  <si>
    <t xml:space="preserve">10300031</t>
  </si>
  <si>
    <t xml:space="preserve">Ｌｉｋｅ　Ｄｍ　株式会社</t>
  </si>
  <si>
    <t xml:space="preserve">10300032</t>
  </si>
  <si>
    <t xml:space="preserve">株式会社　恭</t>
  </si>
  <si>
    <t xml:space="preserve">10300037</t>
  </si>
  <si>
    <t xml:space="preserve">一般社団法人　ＭｉＬＫＹ　ＷＡＹ</t>
  </si>
  <si>
    <t xml:space="preserve">10300042</t>
  </si>
  <si>
    <t xml:space="preserve">特定非営利活動法人　ソンリッサ</t>
  </si>
  <si>
    <t xml:space="preserve">10300043</t>
  </si>
  <si>
    <t xml:space="preserve">株式会社　関東贈答</t>
  </si>
  <si>
    <t xml:space="preserve">10300045</t>
  </si>
  <si>
    <t xml:space="preserve">サーテック　合同会社</t>
  </si>
  <si>
    <t xml:space="preserve">10300061</t>
  </si>
  <si>
    <t xml:space="preserve">株式会社　ＺＥＤ</t>
  </si>
  <si>
    <t xml:space="preserve">10400002</t>
  </si>
  <si>
    <t xml:space="preserve">スナガロジスティクス　企業組合</t>
  </si>
  <si>
    <t xml:space="preserve">10400003</t>
  </si>
  <si>
    <t xml:space="preserve">株式会社　スナガビジネスソリューション</t>
  </si>
  <si>
    <t xml:space="preserve">10400004</t>
  </si>
  <si>
    <t xml:space="preserve">栄晃ビルサービス　有限会社</t>
  </si>
  <si>
    <t xml:space="preserve">10400005</t>
  </si>
  <si>
    <t xml:space="preserve">株式会社　ＴｒｕｓｔＦａｍ</t>
  </si>
  <si>
    <t xml:space="preserve">10400006</t>
  </si>
  <si>
    <t xml:space="preserve">株式会社　ガスビック</t>
  </si>
  <si>
    <t xml:space="preserve">10400007</t>
  </si>
  <si>
    <t xml:space="preserve">株式会社　スナガ</t>
  </si>
  <si>
    <t xml:space="preserve">10400008</t>
  </si>
  <si>
    <t xml:space="preserve">株式会社　トップ・クリエイト</t>
  </si>
  <si>
    <t xml:space="preserve">10400009</t>
  </si>
  <si>
    <t xml:space="preserve">株式会社　ブリスオーディオ</t>
  </si>
  <si>
    <t xml:space="preserve">10400010</t>
  </si>
  <si>
    <t xml:space="preserve">株式会社　田尻</t>
  </si>
  <si>
    <t xml:space="preserve">10400011</t>
  </si>
  <si>
    <t xml:space="preserve">株式会社　リベル</t>
  </si>
  <si>
    <t xml:space="preserve">10400012</t>
  </si>
  <si>
    <t xml:space="preserve">吉沢精機　有限会社</t>
  </si>
  <si>
    <t xml:space="preserve">10400013</t>
  </si>
  <si>
    <t xml:space="preserve">有限会社　ガスネット</t>
  </si>
  <si>
    <t xml:space="preserve">10400014</t>
  </si>
  <si>
    <t xml:space="preserve">有限会社　デリッシュ</t>
  </si>
  <si>
    <t xml:space="preserve">10400016</t>
  </si>
  <si>
    <t xml:space="preserve">有限会社　正栄</t>
  </si>
  <si>
    <t xml:space="preserve">10400017</t>
  </si>
  <si>
    <t xml:space="preserve">有限会社　スナガカスタマサービス</t>
  </si>
  <si>
    <t xml:space="preserve">10400018</t>
  </si>
  <si>
    <t xml:space="preserve">一般社団法人　ジョブラボぐんま</t>
  </si>
  <si>
    <t xml:space="preserve">10400020</t>
  </si>
  <si>
    <t xml:space="preserve">株式会社　マネージサポート</t>
  </si>
  <si>
    <t xml:space="preserve">10400021</t>
  </si>
  <si>
    <t xml:space="preserve">株式会社　きらり</t>
  </si>
  <si>
    <t xml:space="preserve">10400022</t>
  </si>
  <si>
    <t xml:space="preserve">医療法人　前原内科医院</t>
  </si>
  <si>
    <t xml:space="preserve">10500002</t>
  </si>
  <si>
    <t xml:space="preserve">エスケー・ジャパン　合同会社</t>
  </si>
  <si>
    <t xml:space="preserve">10500005</t>
  </si>
  <si>
    <t xml:space="preserve">株式会社　カーメル・インターナショナル</t>
  </si>
  <si>
    <t xml:space="preserve">10500007</t>
  </si>
  <si>
    <t xml:space="preserve">株式会社　ｓｏｕｔｈ設計事務所</t>
  </si>
  <si>
    <t xml:space="preserve">10500008</t>
  </si>
  <si>
    <t xml:space="preserve">株式会社　ｄｉｖｋａ</t>
  </si>
  <si>
    <t xml:space="preserve">10500014</t>
  </si>
  <si>
    <t xml:space="preserve">北栄　株式会社</t>
  </si>
  <si>
    <t xml:space="preserve">10500015</t>
  </si>
  <si>
    <t xml:space="preserve">有限会社　イイヅカ洋品店</t>
  </si>
  <si>
    <t xml:space="preserve">10500016</t>
  </si>
  <si>
    <t xml:space="preserve">有限会社　尾澤商事</t>
  </si>
  <si>
    <t xml:space="preserve">10500017</t>
  </si>
  <si>
    <t xml:space="preserve">株式会社　ナックビジョン</t>
  </si>
  <si>
    <t xml:space="preserve">10500019</t>
  </si>
  <si>
    <t xml:space="preserve">合同会社　アトリエ・キッズ</t>
  </si>
  <si>
    <t xml:space="preserve">10500020</t>
  </si>
  <si>
    <t xml:space="preserve">株式会社　緑</t>
  </si>
  <si>
    <t xml:space="preserve">10500021</t>
  </si>
  <si>
    <t xml:space="preserve">一般社団法人　グローバルテニスプロジェクト</t>
  </si>
  <si>
    <t xml:space="preserve">10600001</t>
  </si>
  <si>
    <t xml:space="preserve">株式会社　茂木のたまご</t>
  </si>
  <si>
    <t xml:space="preserve">10600003</t>
  </si>
  <si>
    <t xml:space="preserve">バイシンク･エンタテインメント　株式会社</t>
  </si>
  <si>
    <t xml:space="preserve">10600004</t>
  </si>
  <si>
    <t xml:space="preserve">株式会社　ＯＡランド２１</t>
  </si>
  <si>
    <t xml:space="preserve">10600005</t>
  </si>
  <si>
    <t xml:space="preserve">株式会社　ＳＯＵ</t>
  </si>
  <si>
    <t xml:space="preserve">南雲　拓也</t>
  </si>
  <si>
    <t xml:space="preserve">10600006</t>
  </si>
  <si>
    <t xml:space="preserve">株式会社　あざみ農園</t>
  </si>
  <si>
    <t xml:space="preserve">10600009</t>
  </si>
  <si>
    <t xml:space="preserve">株式会社　浅野織物工場</t>
  </si>
  <si>
    <t xml:space="preserve">10600010</t>
  </si>
  <si>
    <t xml:space="preserve">株式会社　内田養鶏</t>
  </si>
  <si>
    <t xml:space="preserve">10600011</t>
  </si>
  <si>
    <t xml:space="preserve">株式会社　リープリープ</t>
  </si>
  <si>
    <t xml:space="preserve">10600012</t>
  </si>
  <si>
    <t xml:space="preserve">有限会社　アサカレ－ス</t>
  </si>
  <si>
    <t xml:space="preserve">10600013</t>
  </si>
  <si>
    <t xml:space="preserve">有限会社　モントレー</t>
  </si>
  <si>
    <t xml:space="preserve">10600014</t>
  </si>
  <si>
    <t xml:space="preserve">有限会社　富沢電気商事</t>
  </si>
  <si>
    <t xml:space="preserve">10600015</t>
  </si>
  <si>
    <t xml:space="preserve">株式会社　エス・ケー・アグリ</t>
  </si>
  <si>
    <t xml:space="preserve">10600016</t>
  </si>
  <si>
    <t xml:space="preserve">一般社団法人　ホリスティックライフデザイン協会</t>
  </si>
  <si>
    <t xml:space="preserve">10600017</t>
  </si>
  <si>
    <t xml:space="preserve">株式会社　パンフォーユー</t>
  </si>
  <si>
    <t xml:space="preserve">10600018</t>
  </si>
  <si>
    <t xml:space="preserve">株式会社　ＬｉＮＫ</t>
  </si>
  <si>
    <t xml:space="preserve">10600022</t>
  </si>
  <si>
    <t xml:space="preserve">有限会社　望月メディカルシステムズ</t>
  </si>
  <si>
    <t xml:space="preserve">10600025</t>
  </si>
  <si>
    <t xml:space="preserve">株式会社　ナチュラルボディズ</t>
  </si>
  <si>
    <t xml:space="preserve">10600027</t>
  </si>
  <si>
    <t xml:space="preserve">株式会社  西ハルナファーム</t>
  </si>
  <si>
    <t xml:space="preserve">10600028</t>
  </si>
  <si>
    <t xml:space="preserve">株式会社　ネクサス</t>
  </si>
  <si>
    <t xml:space="preserve">10600031</t>
  </si>
  <si>
    <t xml:space="preserve">株式会社Ｂｌｏｏｍ　Ｗｅｌｌ</t>
  </si>
  <si>
    <t xml:space="preserve">10600034</t>
  </si>
  <si>
    <t xml:space="preserve">株式会社　岡田ＨＤ</t>
  </si>
  <si>
    <t xml:space="preserve">10600035</t>
  </si>
  <si>
    <t xml:space="preserve">株式会社　まゆ‐ごもり</t>
  </si>
  <si>
    <t xml:space="preserve">10700002</t>
  </si>
  <si>
    <t xml:space="preserve">アイフォックス　株式会社</t>
  </si>
  <si>
    <t xml:space="preserve">10700003</t>
  </si>
  <si>
    <t xml:space="preserve">一般社団法人　Ｋマネジメント</t>
  </si>
  <si>
    <t xml:space="preserve">10700005</t>
  </si>
  <si>
    <t xml:space="preserve">株式会社　アッシー</t>
  </si>
  <si>
    <t xml:space="preserve">10700006</t>
  </si>
  <si>
    <t xml:space="preserve">株式会社　フクル</t>
  </si>
  <si>
    <t xml:space="preserve">10700007</t>
  </si>
  <si>
    <t xml:space="preserve">株式会社　プロダクションＡ</t>
  </si>
  <si>
    <t xml:space="preserve">10700008</t>
  </si>
  <si>
    <t xml:space="preserve">株式会社　ＹＴファーム</t>
  </si>
  <si>
    <t xml:space="preserve">10700009</t>
  </si>
  <si>
    <t xml:space="preserve">株式会社　アール企画</t>
  </si>
  <si>
    <t xml:space="preserve">10700010</t>
  </si>
  <si>
    <t xml:space="preserve">貴船工業　株式会社</t>
  </si>
  <si>
    <t xml:space="preserve">10700012</t>
  </si>
  <si>
    <t xml:space="preserve">合同会社　ＮＧＵ</t>
  </si>
  <si>
    <t xml:space="preserve">10700013</t>
  </si>
  <si>
    <t xml:space="preserve">小林当織物　株式会社</t>
  </si>
  <si>
    <t xml:space="preserve">10700014</t>
  </si>
  <si>
    <t xml:space="preserve">森宗保全　合資会社</t>
  </si>
  <si>
    <t xml:space="preserve">10700016</t>
  </si>
  <si>
    <t xml:space="preserve">有限会社　高和エンジニアリング</t>
  </si>
  <si>
    <t xml:space="preserve">10700018</t>
  </si>
  <si>
    <t xml:space="preserve">株式会社　Ａ－ＷＡＹ</t>
  </si>
  <si>
    <t xml:space="preserve">10700019</t>
  </si>
  <si>
    <t xml:space="preserve">株式会社　新潟アパタイト</t>
  </si>
  <si>
    <r>
      <rPr>
        <sz val="10"/>
        <rFont val="Yu Gothic"/>
        <family val="0"/>
        <charset val="1"/>
      </rPr>
      <t xml:space="preserve">E:</t>
    </r>
    <r>
      <rPr>
        <sz val="10"/>
        <rFont val="WenQuanYi Zen Hei"/>
        <family val="2"/>
      </rPr>
      <t xml:space="preserve">納税者の作成した決算書から申告、税務代理まで</t>
    </r>
  </si>
  <si>
    <t xml:space="preserve">10700023</t>
  </si>
  <si>
    <t xml:space="preserve">株式会社　ＣＡＴ３</t>
  </si>
  <si>
    <t xml:space="preserve">10800001</t>
  </si>
  <si>
    <t xml:space="preserve">株式会社　ベルーリア</t>
  </si>
  <si>
    <t xml:space="preserve">10800002</t>
  </si>
  <si>
    <t xml:space="preserve">株式会社　ＦＩＸ</t>
  </si>
  <si>
    <t xml:space="preserve">10800003</t>
  </si>
  <si>
    <t xml:space="preserve">株式会社　ライフデコ</t>
  </si>
  <si>
    <t xml:space="preserve">10800004</t>
  </si>
  <si>
    <t xml:space="preserve">株式会社　田中設備</t>
  </si>
  <si>
    <t xml:space="preserve">10800005</t>
  </si>
  <si>
    <t xml:space="preserve">株式会社　アーツデザインプロジェクト</t>
  </si>
  <si>
    <t xml:space="preserve">10800007</t>
  </si>
  <si>
    <t xml:space="preserve">株式会社　家族会議</t>
  </si>
  <si>
    <t xml:space="preserve">10800008</t>
  </si>
  <si>
    <t xml:space="preserve">三立応用化工　株式会社</t>
  </si>
  <si>
    <t xml:space="preserve">10800009</t>
  </si>
  <si>
    <t xml:space="preserve">有限会社　オオシマ</t>
  </si>
  <si>
    <t xml:space="preserve">10800012</t>
  </si>
  <si>
    <t xml:space="preserve">有限会社　小林商店</t>
  </si>
  <si>
    <t xml:space="preserve">10800013</t>
  </si>
  <si>
    <t xml:space="preserve">医療法人　緑耀会</t>
  </si>
  <si>
    <t xml:space="preserve">10800015</t>
  </si>
  <si>
    <t xml:space="preserve">桐栄機器サービス　株式会社</t>
  </si>
  <si>
    <t xml:space="preserve">10800018</t>
  </si>
  <si>
    <t xml:space="preserve">株式会社　ＭＡＴ　ＧＲＯＵＰ</t>
  </si>
  <si>
    <t xml:space="preserve">10800019</t>
  </si>
  <si>
    <t xml:space="preserve">Ｓｏｎｎｅ　合同会社</t>
  </si>
  <si>
    <t xml:space="preserve">10800020</t>
  </si>
  <si>
    <t xml:space="preserve">株式会社　シンワルブテック</t>
  </si>
  <si>
    <t xml:space="preserve">10800021</t>
  </si>
  <si>
    <t xml:space="preserve">株式会社　ベッレ</t>
  </si>
  <si>
    <t xml:space="preserve">10900001</t>
  </si>
  <si>
    <t xml:space="preserve">中央電子システム　株式会社</t>
  </si>
  <si>
    <t xml:space="preserve">10900005</t>
  </si>
  <si>
    <t xml:space="preserve">株式会社　アズ</t>
  </si>
  <si>
    <t xml:space="preserve">10900008</t>
  </si>
  <si>
    <t xml:space="preserve">株式会社　大野</t>
  </si>
  <si>
    <t xml:space="preserve">10900010</t>
  </si>
  <si>
    <t xml:space="preserve">合同会社　Ｋ－ＦＡＲＭ</t>
  </si>
  <si>
    <t xml:space="preserve">10900012</t>
  </si>
  <si>
    <t xml:space="preserve">日本ゼウス工業　株式会社</t>
  </si>
  <si>
    <t xml:space="preserve">10900013</t>
  </si>
  <si>
    <t xml:space="preserve">有限会社　杜コーポレーション</t>
  </si>
  <si>
    <t xml:space="preserve">10900014</t>
  </si>
  <si>
    <t xml:space="preserve">髙野設備　株式会社</t>
  </si>
  <si>
    <t xml:space="preserve">10900015</t>
  </si>
  <si>
    <t xml:space="preserve">株式会社　大西ライト工業所</t>
  </si>
  <si>
    <t xml:space="preserve">10900016</t>
  </si>
  <si>
    <t xml:space="preserve">有限会社　ムーム</t>
  </si>
  <si>
    <t xml:space="preserve">10900017</t>
  </si>
  <si>
    <t xml:space="preserve">株式会社　リベルエステート</t>
  </si>
  <si>
    <t xml:space="preserve">10900018</t>
  </si>
  <si>
    <t xml:space="preserve">株式会社　福島封筒</t>
  </si>
  <si>
    <t xml:space="preserve">10900019</t>
  </si>
  <si>
    <t xml:space="preserve">株式会社　ＮＡＰ</t>
  </si>
  <si>
    <t xml:space="preserve">10900025</t>
  </si>
  <si>
    <t xml:space="preserve">株式会社　ＵＢＮ</t>
  </si>
  <si>
    <t xml:space="preserve">10900029</t>
  </si>
  <si>
    <t xml:space="preserve">株式会社　ＤＥＩＳ</t>
  </si>
  <si>
    <t xml:space="preserve">11000001</t>
  </si>
  <si>
    <t xml:space="preserve">ＬＬ－Ｔｒａｄｅ　株式会社</t>
  </si>
  <si>
    <t xml:space="preserve">11000003</t>
  </si>
  <si>
    <t xml:space="preserve">株式会社　瀬戸ヶ原花苑</t>
  </si>
  <si>
    <t xml:space="preserve">11000005</t>
  </si>
  <si>
    <t xml:space="preserve">合同会社　小室楽器</t>
  </si>
  <si>
    <t xml:space="preserve">11000007</t>
  </si>
  <si>
    <t xml:space="preserve">有限会社　共設</t>
  </si>
  <si>
    <t xml:space="preserve">11000009</t>
  </si>
  <si>
    <t xml:space="preserve">合同会社　関本フードビジネス</t>
  </si>
  <si>
    <t xml:space="preserve">11000010</t>
  </si>
  <si>
    <t xml:space="preserve">株式会社　ＴＩＣ</t>
  </si>
  <si>
    <t xml:space="preserve">11100003</t>
  </si>
  <si>
    <t xml:space="preserve">株式会社　グローバル</t>
  </si>
  <si>
    <t xml:space="preserve">11100004</t>
  </si>
  <si>
    <t xml:space="preserve">株式会社　桐装ノムラ</t>
  </si>
  <si>
    <t xml:space="preserve">11100006</t>
  </si>
  <si>
    <t xml:space="preserve">株式会社　ＢＷＧ</t>
  </si>
  <si>
    <t xml:space="preserve">11100007</t>
  </si>
  <si>
    <t xml:space="preserve">株式会社　ＣＰＡパートナーズ</t>
  </si>
  <si>
    <t xml:space="preserve">11100009</t>
  </si>
  <si>
    <t xml:space="preserve">金谷エステート　合同会社</t>
  </si>
  <si>
    <t xml:space="preserve">11100012</t>
  </si>
  <si>
    <t xml:space="preserve">一般社団法人　尾瀬アウトドアスポーツ振興会</t>
  </si>
  <si>
    <t xml:space="preserve">11200001</t>
  </si>
  <si>
    <r>
      <rPr>
        <sz val="10"/>
        <rFont val="Yu Gothic"/>
        <family val="0"/>
        <charset val="1"/>
      </rPr>
      <t xml:space="preserve">Yugenstudio</t>
    </r>
    <r>
      <rPr>
        <sz val="10"/>
        <rFont val="WenQuanYi Zen Hei"/>
        <family val="2"/>
      </rPr>
      <t xml:space="preserve">　株式会社</t>
    </r>
  </si>
  <si>
    <t xml:space="preserve">11200002</t>
  </si>
  <si>
    <t xml:space="preserve">アットｅ　株式会社</t>
  </si>
  <si>
    <t xml:space="preserve">11200003</t>
  </si>
  <si>
    <t xml:space="preserve">株式会社　アスパックス</t>
  </si>
  <si>
    <t xml:space="preserve">11200011</t>
  </si>
  <si>
    <t xml:space="preserve">株式会社　布川</t>
  </si>
  <si>
    <t xml:space="preserve">11200012</t>
  </si>
  <si>
    <t xml:space="preserve">株式会社　コムエナジー</t>
  </si>
  <si>
    <t xml:space="preserve">11200013</t>
  </si>
  <si>
    <t xml:space="preserve">桐生プロパンガス　株式会社</t>
  </si>
  <si>
    <t xml:space="preserve">11200014</t>
  </si>
  <si>
    <t xml:space="preserve">桐生瓦斯　株式会社</t>
  </si>
  <si>
    <t xml:space="preserve">11200015</t>
  </si>
  <si>
    <t xml:space="preserve">森　合資会社</t>
  </si>
  <si>
    <t xml:space="preserve">11200016</t>
  </si>
  <si>
    <t xml:space="preserve">森秀織物　株式会社</t>
  </si>
  <si>
    <t xml:space="preserve">11200017</t>
  </si>
  <si>
    <t xml:space="preserve">親和　有限会社</t>
  </si>
  <si>
    <t xml:space="preserve">11200018</t>
  </si>
  <si>
    <t xml:space="preserve">特定非営利活動法人　手をさしのべて</t>
  </si>
  <si>
    <t xml:space="preserve">11200020</t>
  </si>
  <si>
    <t xml:space="preserve">有限会社　大畑企画</t>
  </si>
  <si>
    <t xml:space="preserve">11200031</t>
  </si>
  <si>
    <t xml:space="preserve">株式会社　ＮＢＵ</t>
  </si>
  <si>
    <t xml:space="preserve">11200035</t>
  </si>
  <si>
    <t xml:space="preserve">株式会社　トマル</t>
  </si>
  <si>
    <t xml:space="preserve">11200041</t>
  </si>
  <si>
    <t xml:space="preserve">一般社団法人　優</t>
  </si>
  <si>
    <t xml:space="preserve">11200042</t>
  </si>
  <si>
    <t xml:space="preserve">有限会社　トマルコーポラス</t>
  </si>
  <si>
    <t xml:space="preserve">2030002</t>
  </si>
  <si>
    <t xml:space="preserve">川端　淳</t>
  </si>
  <si>
    <t xml:space="preserve">個人</t>
  </si>
  <si>
    <t xml:space="preserve">21000149</t>
  </si>
  <si>
    <t xml:space="preserve">野村　信夫</t>
  </si>
  <si>
    <t xml:space="preserve">2100150</t>
  </si>
  <si>
    <t xml:space="preserve">野村　裕樹</t>
  </si>
  <si>
    <t xml:space="preserve">21200007</t>
  </si>
  <si>
    <t xml:space="preserve">浅香　達夫</t>
  </si>
  <si>
    <t xml:space="preserve">21200010</t>
  </si>
  <si>
    <t xml:space="preserve">浅野　俊丈</t>
  </si>
  <si>
    <t xml:space="preserve">21200012</t>
  </si>
  <si>
    <t xml:space="preserve">井野　秀明</t>
  </si>
  <si>
    <t xml:space="preserve">21200021</t>
  </si>
  <si>
    <t xml:space="preserve">今泉　清</t>
  </si>
  <si>
    <t xml:space="preserve">21200023</t>
  </si>
  <si>
    <t xml:space="preserve">岩崎　充紀</t>
  </si>
  <si>
    <t xml:space="preserve">21200044</t>
  </si>
  <si>
    <t xml:space="preserve">小野里　博美</t>
  </si>
  <si>
    <t xml:space="preserve">21200052</t>
  </si>
  <si>
    <t xml:space="preserve">金子　猛志</t>
  </si>
  <si>
    <t xml:space="preserve">21200058</t>
  </si>
  <si>
    <t xml:space="preserve">神林　兼文</t>
  </si>
  <si>
    <t xml:space="preserve">21200064</t>
  </si>
  <si>
    <t xml:space="preserve">桒原　康之</t>
  </si>
  <si>
    <t xml:space="preserve">21200065</t>
  </si>
  <si>
    <t xml:space="preserve">栗原　拓己</t>
  </si>
  <si>
    <t xml:space="preserve">21200069</t>
  </si>
  <si>
    <t xml:space="preserve">小林　祐也</t>
  </si>
  <si>
    <t xml:space="preserve">21200077</t>
  </si>
  <si>
    <t xml:space="preserve">佐々木　一郎</t>
  </si>
  <si>
    <t xml:space="preserve">21200078</t>
  </si>
  <si>
    <t xml:space="preserve">佐々木　陽子</t>
  </si>
  <si>
    <t xml:space="preserve">21200084</t>
  </si>
  <si>
    <t xml:space="preserve">代田　哲也</t>
  </si>
  <si>
    <t xml:space="preserve">21200085</t>
  </si>
  <si>
    <t xml:space="preserve">鈴木　延明</t>
  </si>
  <si>
    <t xml:space="preserve">21200103</t>
  </si>
  <si>
    <t xml:space="preserve">関端　和昭</t>
  </si>
  <si>
    <t xml:space="preserve">21200105</t>
  </si>
  <si>
    <t xml:space="preserve">関口　英典</t>
  </si>
  <si>
    <t xml:space="preserve">21200118</t>
  </si>
  <si>
    <t xml:space="preserve">田村　妙子</t>
  </si>
  <si>
    <t xml:space="preserve">21200120</t>
  </si>
  <si>
    <t xml:space="preserve">関口　則夫</t>
  </si>
  <si>
    <t xml:space="preserve">21200130</t>
  </si>
  <si>
    <t xml:space="preserve">殿岡　良明</t>
  </si>
  <si>
    <t xml:space="preserve">21200134</t>
  </si>
  <si>
    <t xml:space="preserve">中島　淳　</t>
  </si>
  <si>
    <t xml:space="preserve">21200136</t>
  </si>
  <si>
    <t xml:space="preserve">中嶋　クニ</t>
  </si>
  <si>
    <t xml:space="preserve">一場　明美</t>
  </si>
  <si>
    <t xml:space="preserve">21200147</t>
  </si>
  <si>
    <t xml:space="preserve">野村　貴正</t>
  </si>
  <si>
    <t xml:space="preserve">21200148</t>
  </si>
  <si>
    <t xml:space="preserve">野村　ツ子</t>
  </si>
  <si>
    <t xml:space="preserve">21200151</t>
  </si>
  <si>
    <t xml:space="preserve">廣町　惠三</t>
  </si>
  <si>
    <t xml:space="preserve">21200174</t>
  </si>
  <si>
    <t xml:space="preserve">松田　栄治</t>
  </si>
  <si>
    <t xml:space="preserve">21200175</t>
  </si>
  <si>
    <t xml:space="preserve">丸山　英二</t>
  </si>
  <si>
    <t xml:space="preserve">21200176</t>
  </si>
  <si>
    <t xml:space="preserve">丸山　昇</t>
  </si>
  <si>
    <t xml:space="preserve">21200181</t>
  </si>
  <si>
    <t xml:space="preserve">森　武志</t>
  </si>
  <si>
    <t xml:space="preserve">21200186</t>
  </si>
  <si>
    <t xml:space="preserve">山越　智美</t>
  </si>
  <si>
    <t xml:space="preserve">21200190</t>
  </si>
  <si>
    <t xml:space="preserve">山越　友惠</t>
  </si>
  <si>
    <t xml:space="preserve">21200212</t>
  </si>
  <si>
    <t xml:space="preserve">渡邉　和寿</t>
  </si>
  <si>
    <t xml:space="preserve">21200215</t>
  </si>
  <si>
    <t xml:space="preserve">上林　京</t>
  </si>
  <si>
    <t xml:space="preserve">21200219</t>
  </si>
  <si>
    <t xml:space="preserve">梅田　邦彦</t>
  </si>
  <si>
    <t xml:space="preserve">21200223</t>
  </si>
  <si>
    <t xml:space="preserve">岡田　弘子</t>
  </si>
  <si>
    <t xml:space="preserve">21200226</t>
  </si>
  <si>
    <t xml:space="preserve">桒原　美香</t>
  </si>
  <si>
    <t xml:space="preserve">町田　尚史</t>
  </si>
  <si>
    <t xml:space="preserve">21200227</t>
  </si>
  <si>
    <t xml:space="preserve">山崎　太</t>
  </si>
  <si>
    <t xml:space="preserve">21200229</t>
  </si>
  <si>
    <t xml:space="preserve">長澤　千鶴</t>
  </si>
  <si>
    <r>
      <rPr>
        <sz val="10"/>
        <rFont val="Yu Gothic"/>
        <family val="0"/>
        <charset val="1"/>
      </rPr>
      <t xml:space="preserve">G:</t>
    </r>
    <r>
      <rPr>
        <sz val="10"/>
        <rFont val="WenQuanYi Zen Hei"/>
        <family val="2"/>
      </rPr>
      <t xml:space="preserve">その他</t>
    </r>
  </si>
  <si>
    <t xml:space="preserve">21200230</t>
  </si>
  <si>
    <t xml:space="preserve">小池　達哉</t>
  </si>
  <si>
    <t xml:space="preserve">21200231</t>
  </si>
  <si>
    <t xml:space="preserve">岡田　直樹</t>
  </si>
  <si>
    <t xml:space="preserve">21200232</t>
  </si>
  <si>
    <t xml:space="preserve">岡田　保子</t>
  </si>
  <si>
    <t xml:space="preserve">21200233</t>
  </si>
  <si>
    <t xml:space="preserve">小林　弘美</t>
  </si>
  <si>
    <t xml:space="preserve">21200245</t>
  </si>
  <si>
    <t xml:space="preserve">佐久間　茂</t>
  </si>
  <si>
    <t xml:space="preserve">21200251</t>
  </si>
  <si>
    <t xml:space="preserve">横倉　道雄</t>
  </si>
  <si>
    <t xml:space="preserve">21200252</t>
  </si>
  <si>
    <t xml:space="preserve">小林　勇一</t>
  </si>
  <si>
    <t xml:space="preserve">21200253</t>
  </si>
  <si>
    <t xml:space="preserve">小林　恭平</t>
  </si>
  <si>
    <t xml:space="preserve">21200254</t>
  </si>
  <si>
    <t xml:space="preserve">桑原　健太</t>
  </si>
  <si>
    <t xml:space="preserve">21200259</t>
  </si>
  <si>
    <t xml:space="preserve">布川　順一</t>
  </si>
  <si>
    <t xml:space="preserve">21200260</t>
  </si>
  <si>
    <t xml:space="preserve">髙池　米藏</t>
  </si>
  <si>
    <t xml:space="preserve">21200262</t>
  </si>
  <si>
    <t xml:space="preserve">大澤　啓史</t>
  </si>
  <si>
    <t xml:space="preserve">21200263</t>
  </si>
  <si>
    <t xml:space="preserve">矢野 健太</t>
  </si>
  <si>
    <t xml:space="preserve">伊藤　正敏</t>
  </si>
  <si>
    <t xml:space="preserve">21200266</t>
  </si>
  <si>
    <t xml:space="preserve">海老沼　拓史</t>
  </si>
  <si>
    <t xml:space="preserve">21200270</t>
  </si>
  <si>
    <t xml:space="preserve">布川　スミ子</t>
  </si>
  <si>
    <t xml:space="preserve">21200271</t>
  </si>
  <si>
    <t xml:space="preserve">布川　慎二</t>
  </si>
  <si>
    <t xml:space="preserve">21200272</t>
  </si>
  <si>
    <t xml:space="preserve">清水　君子</t>
  </si>
  <si>
    <t xml:space="preserve">21200275</t>
  </si>
  <si>
    <t xml:space="preserve">市川　琴美</t>
  </si>
  <si>
    <t xml:space="preserve">小島　浩子</t>
  </si>
  <si>
    <t xml:space="preserve">21200276</t>
  </si>
  <si>
    <t xml:space="preserve">泉　博康</t>
  </si>
  <si>
    <t xml:space="preserve">深澤　優太</t>
  </si>
  <si>
    <t xml:space="preserve">21200277</t>
  </si>
  <si>
    <t xml:space="preserve">泉　知江</t>
  </si>
  <si>
    <t xml:space="preserve">21200278</t>
  </si>
  <si>
    <t xml:space="preserve">泉　明子</t>
  </si>
  <si>
    <t xml:space="preserve">21200282</t>
  </si>
  <si>
    <t xml:space="preserve">宮内　建一</t>
  </si>
  <si>
    <t xml:space="preserve">21200284</t>
  </si>
  <si>
    <t xml:space="preserve">井上　美沙</t>
  </si>
  <si>
    <t xml:space="preserve">21200288</t>
  </si>
  <si>
    <t xml:space="preserve">森　壽作</t>
  </si>
  <si>
    <t xml:space="preserve">21200289</t>
  </si>
  <si>
    <t xml:space="preserve">森　信子</t>
  </si>
  <si>
    <t xml:space="preserve">21200290</t>
  </si>
  <si>
    <t xml:space="preserve">堀口　成美</t>
  </si>
  <si>
    <t xml:space="preserve">21200291</t>
  </si>
  <si>
    <t xml:space="preserve">堀口　友里恵</t>
  </si>
  <si>
    <t xml:space="preserve">21200302</t>
  </si>
  <si>
    <t xml:space="preserve">宮内　秀和</t>
  </si>
  <si>
    <t xml:space="preserve">21200306</t>
  </si>
  <si>
    <t xml:space="preserve">中山　良子</t>
  </si>
  <si>
    <t xml:space="preserve">21200307</t>
  </si>
  <si>
    <t xml:space="preserve">小林　かなえ</t>
  </si>
  <si>
    <t xml:space="preserve">21200310</t>
  </si>
  <si>
    <t xml:space="preserve">神林　裕次</t>
  </si>
  <si>
    <t xml:space="preserve">21200311</t>
  </si>
  <si>
    <t xml:space="preserve">家村　昌典</t>
  </si>
  <si>
    <t xml:space="preserve">21200315</t>
  </si>
  <si>
    <t xml:space="preserve">山口　美智子</t>
  </si>
  <si>
    <t xml:space="preserve">21200316</t>
  </si>
  <si>
    <t xml:space="preserve">都丸　雄一</t>
  </si>
  <si>
    <t xml:space="preserve">21200317</t>
  </si>
  <si>
    <t xml:space="preserve">都丸　高志</t>
  </si>
  <si>
    <t xml:space="preserve">21200318</t>
  </si>
  <si>
    <t xml:space="preserve">野村　由紀枝</t>
  </si>
  <si>
    <t xml:space="preserve">21200319</t>
  </si>
  <si>
    <t xml:space="preserve">赤石　巨人</t>
  </si>
  <si>
    <t xml:space="preserve">2120032</t>
  </si>
  <si>
    <t xml:space="preserve">園田　真理子</t>
  </si>
  <si>
    <t xml:space="preserve">21200320</t>
  </si>
  <si>
    <t xml:space="preserve">都丸　茂子</t>
  </si>
  <si>
    <t xml:space="preserve">21200321</t>
  </si>
  <si>
    <t xml:space="preserve">都丸　恵美子</t>
  </si>
  <si>
    <t xml:space="preserve">21200322</t>
  </si>
  <si>
    <t xml:space="preserve">21200323</t>
  </si>
  <si>
    <t xml:space="preserve">前原　勝良</t>
  </si>
  <si>
    <t xml:space="preserve">21200324</t>
  </si>
  <si>
    <t xml:space="preserve">野村　侑里</t>
  </si>
  <si>
    <t xml:space="preserve">21200325</t>
  </si>
  <si>
    <t xml:space="preserve">飯野　文広</t>
  </si>
  <si>
    <t xml:space="preserve">21200326</t>
  </si>
  <si>
    <t xml:space="preserve">林　宏行</t>
  </si>
  <si>
    <t xml:space="preserve">21200327</t>
  </si>
  <si>
    <t xml:space="preserve">齋藤　咲良</t>
  </si>
  <si>
    <t xml:space="preserve">21200328</t>
  </si>
  <si>
    <t xml:space="preserve">島倉　都</t>
  </si>
  <si>
    <t xml:space="preserve">21200329</t>
  </si>
  <si>
    <t xml:space="preserve">田胡　純也</t>
  </si>
  <si>
    <t xml:space="preserve">21200330</t>
  </si>
  <si>
    <t xml:space="preserve">西川　浩二</t>
  </si>
  <si>
    <t xml:space="preserve">21200332</t>
  </si>
  <si>
    <t xml:space="preserve">落合　正好</t>
  </si>
  <si>
    <t xml:space="preserve">21200333</t>
  </si>
  <si>
    <t xml:space="preserve">都丸　朝陽</t>
  </si>
  <si>
    <t xml:space="preserve">21200334</t>
  </si>
  <si>
    <t xml:space="preserve">都丸　裕香子</t>
  </si>
  <si>
    <t xml:space="preserve">21200335</t>
  </si>
  <si>
    <t xml:space="preserve">都丸　智咲子</t>
  </si>
  <si>
    <t xml:space="preserve">21200336</t>
  </si>
  <si>
    <t xml:space="preserve">都丸　英恵</t>
  </si>
  <si>
    <t xml:space="preserve">21200340</t>
  </si>
  <si>
    <t xml:space="preserve">内田　陽子</t>
  </si>
  <si>
    <t xml:space="preserve">21200350</t>
  </si>
  <si>
    <t xml:space="preserve">小林　靖子</t>
  </si>
  <si>
    <t xml:space="preserve">21200351</t>
  </si>
  <si>
    <t xml:space="preserve">横島　克亮</t>
  </si>
  <si>
    <t xml:space="preserve">21200352</t>
  </si>
  <si>
    <t xml:space="preserve">松井　豊</t>
  </si>
  <si>
    <t xml:space="preserve">21200353</t>
  </si>
  <si>
    <t xml:space="preserve">寺内　優美子</t>
  </si>
  <si>
    <t xml:space="preserve">21200354</t>
  </si>
  <si>
    <t xml:space="preserve">阿久沢　詩保</t>
  </si>
  <si>
    <t xml:space="preserve">21200355</t>
  </si>
  <si>
    <t xml:space="preserve">立澤　俊明</t>
  </si>
  <si>
    <t xml:space="preserve">21200356</t>
  </si>
  <si>
    <t xml:space="preserve">桒原　ひさ子</t>
  </si>
  <si>
    <t xml:space="preserve">21200357</t>
  </si>
  <si>
    <t xml:space="preserve">山口　大貴</t>
  </si>
  <si>
    <t xml:space="preserve">21200358</t>
  </si>
  <si>
    <t xml:space="preserve">大野　忠二郎</t>
  </si>
  <si>
    <t xml:space="preserve">21200359</t>
  </si>
  <si>
    <t xml:space="preserve">渡辺　慶一</t>
  </si>
  <si>
    <t xml:space="preserve">21200360</t>
  </si>
  <si>
    <t xml:space="preserve">中村　吏志</t>
  </si>
  <si>
    <t xml:space="preserve">21200361</t>
  </si>
  <si>
    <t xml:space="preserve">深沢　智江子</t>
  </si>
  <si>
    <t xml:space="preserve">21200362</t>
  </si>
  <si>
    <t xml:space="preserve">中野　裕之</t>
  </si>
  <si>
    <t xml:space="preserve">21202001</t>
  </si>
  <si>
    <t xml:space="preserve">菊池　美幸</t>
  </si>
  <si>
    <t xml:space="preserve">21300004</t>
  </si>
  <si>
    <t xml:space="preserve">森　昭寿</t>
  </si>
  <si>
    <t xml:space="preserve">21300005</t>
  </si>
  <si>
    <t xml:space="preserve">森　美紀</t>
  </si>
  <si>
    <t xml:space="preserve">21300006</t>
  </si>
  <si>
    <t xml:space="preserve">森　睦子</t>
  </si>
  <si>
    <t xml:space="preserve">21300007</t>
  </si>
  <si>
    <t xml:space="preserve">森　順介</t>
  </si>
  <si>
    <t xml:space="preserve">21300030</t>
  </si>
  <si>
    <t xml:space="preserve">赤石　美紀代</t>
  </si>
  <si>
    <t xml:space="preserve">21300119</t>
  </si>
  <si>
    <t xml:space="preserve">中村　恭兵</t>
  </si>
  <si>
    <t xml:space="preserve">21300120</t>
  </si>
  <si>
    <t xml:space="preserve">田中　崇順</t>
  </si>
  <si>
    <t xml:space="preserve">21300121</t>
  </si>
  <si>
    <t xml:space="preserve">関口　和子</t>
  </si>
  <si>
    <t xml:space="preserve">事務所共有１</t>
  </si>
  <si>
    <t xml:space="preserve">21300189</t>
  </si>
  <si>
    <t xml:space="preserve">福島　和美</t>
  </si>
  <si>
    <t xml:space="preserve">21300191</t>
  </si>
  <si>
    <t xml:space="preserve">須永　惠美子</t>
  </si>
  <si>
    <t xml:space="preserve">21300192</t>
  </si>
  <si>
    <t xml:space="preserve">須永　正男</t>
  </si>
  <si>
    <t xml:space="preserve">21300193</t>
  </si>
  <si>
    <t xml:space="preserve">椎名　規恵</t>
  </si>
  <si>
    <t xml:space="preserve">21300248</t>
  </si>
  <si>
    <t xml:space="preserve">金谷　頼延</t>
  </si>
  <si>
    <t xml:space="preserve">21300282</t>
  </si>
  <si>
    <t xml:space="preserve">小暮　篤史</t>
  </si>
  <si>
    <t xml:space="preserve">30000005</t>
  </si>
  <si>
    <t xml:space="preserve">根岸　洋子</t>
  </si>
  <si>
    <t xml:space="preserve">相続・スポット</t>
  </si>
  <si>
    <t xml:space="preserve">30000006</t>
  </si>
  <si>
    <t xml:space="preserve">被相続人　菊地　邦子　相続人　菊地　良之</t>
  </si>
  <si>
    <t xml:space="preserve">30000007</t>
  </si>
  <si>
    <t xml:space="preserve">被相続人　齋藤　憲一　相続人　齋藤　誠</t>
  </si>
  <si>
    <t xml:space="preserve">30000008</t>
  </si>
  <si>
    <t xml:space="preserve">岩井田　美佐子</t>
  </si>
  <si>
    <t xml:space="preserve">30000009</t>
  </si>
  <si>
    <t xml:space="preserve">一栁　まさ</t>
  </si>
  <si>
    <t xml:space="preserve">30000011</t>
  </si>
  <si>
    <t xml:space="preserve">松田　隼十</t>
  </si>
  <si>
    <t xml:space="preserve">30000012</t>
  </si>
  <si>
    <t xml:space="preserve">松田　将十</t>
  </si>
  <si>
    <t xml:space="preserve">30000013</t>
  </si>
  <si>
    <t xml:space="preserve">佐羽　美穂子</t>
  </si>
  <si>
    <t xml:space="preserve">30000014</t>
  </si>
  <si>
    <t xml:space="preserve">福島　昭一</t>
  </si>
  <si>
    <t xml:space="preserve">30000015</t>
  </si>
  <si>
    <t xml:space="preserve">佐羽　宏之</t>
  </si>
  <si>
    <t xml:space="preserve">30000017</t>
  </si>
  <si>
    <t xml:space="preserve">桐生　幸子</t>
  </si>
  <si>
    <t xml:space="preserve">30000018</t>
  </si>
  <si>
    <t xml:space="preserve">木村　昌弘</t>
  </si>
  <si>
    <t xml:space="preserve">30000019</t>
  </si>
  <si>
    <t xml:space="preserve">保坂　和子</t>
  </si>
  <si>
    <t xml:space="preserve">30000020</t>
  </si>
  <si>
    <t xml:space="preserve">長野　佳代子</t>
  </si>
  <si>
    <t xml:space="preserve">30000021</t>
  </si>
  <si>
    <t xml:space="preserve">桐生　崇史</t>
  </si>
  <si>
    <t xml:space="preserve">30000022</t>
  </si>
  <si>
    <t xml:space="preserve">河井　記代子</t>
  </si>
  <si>
    <t xml:space="preserve">30000100</t>
  </si>
  <si>
    <t xml:space="preserve">今井　健</t>
  </si>
  <si>
    <t xml:space="preserve">30000101</t>
  </si>
  <si>
    <t xml:space="preserve">今井　裕美</t>
  </si>
  <si>
    <t xml:space="preserve">30002001</t>
  </si>
  <si>
    <t xml:space="preserve">桒原　繁夫</t>
  </si>
  <si>
    <t xml:space="preserve">30003001</t>
  </si>
  <si>
    <t xml:space="preserve">尾澤　起巳子</t>
  </si>
  <si>
    <t xml:space="preserve">50000001</t>
  </si>
  <si>
    <t xml:space="preserve">群馬県沼田市</t>
  </si>
  <si>
    <t xml:space="preserve">公共</t>
  </si>
  <si>
    <t xml:space="preserve">70300001</t>
  </si>
  <si>
    <t xml:space="preserve">医療法人 日望会</t>
  </si>
  <si>
    <t xml:space="preserve">医療法人</t>
  </si>
  <si>
    <t xml:space="preserve">81200015</t>
  </si>
  <si>
    <t xml:space="preserve">一栁　光成</t>
  </si>
  <si>
    <t xml:space="preserve">81200030</t>
  </si>
  <si>
    <t xml:space="preserve">81200163</t>
  </si>
  <si>
    <t xml:space="preserve">相続人　日野　貞実</t>
  </si>
  <si>
    <t xml:space="preserve">アップセル機会 集計ダッシュボード（自動計算）</t>
  </si>
  <si>
    <t xml:space="preserve">■ 層別サマリー</t>
  </si>
  <si>
    <t xml:space="preserve">層</t>
  </si>
  <si>
    <t xml:space="preserve">件数</t>
  </si>
  <si>
    <r>
      <rPr>
        <b val="true"/>
        <sz val="10"/>
        <color rgb="FFFFFFFF"/>
        <rFont val="WenQuanYi Zen Hei"/>
        <family val="2"/>
      </rPr>
      <t xml:space="preserve">報酬合計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</si>
  <si>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売上構成比</t>
  </si>
  <si>
    <r>
      <rPr>
        <sz val="10"/>
        <rFont val="WenQuanYi Zen Hei"/>
        <family val="2"/>
      </rPr>
      <t xml:space="preserve">上位</t>
    </r>
    <r>
      <rPr>
        <sz val="10"/>
        <rFont val="Yu Gothic"/>
        <family val="0"/>
        <charset val="1"/>
      </rPr>
      <t xml:space="preserve">20%</t>
    </r>
  </si>
  <si>
    <r>
      <rPr>
        <sz val="10"/>
        <rFont val="WenQuanYi Zen Hei"/>
        <family val="2"/>
      </rPr>
      <t xml:space="preserve">中位</t>
    </r>
    <r>
      <rPr>
        <sz val="10"/>
        <rFont val="Yu Gothic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</si>
  <si>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下位</t>
    </r>
    <r>
      <rPr>
        <sz val="10"/>
        <rFont val="Yu Gothic"/>
        <family val="0"/>
        <charset val="1"/>
      </rPr>
      <t xml:space="preserve">20%</t>
    </r>
  </si>
  <si>
    <t xml:space="preserve">合計</t>
  </si>
  <si>
    <r>
      <rPr>
        <sz val="10"/>
        <rFont val="WenQuanYi Zen Hei"/>
        <family val="2"/>
      </rPr>
      <t xml:space="preserve">（参考）</t>
    </r>
    <r>
      <rPr>
        <sz val="10"/>
        <rFont val="Yu Gothic"/>
        <family val="0"/>
        <charset val="1"/>
      </rPr>
      <t xml:space="preserve">LTV</t>
    </r>
    <r>
      <rPr>
        <sz val="10"/>
        <rFont val="WenQuanYi Zen Hei"/>
        <family val="2"/>
      </rPr>
      <t xml:space="preserve">測定</t>
    </r>
    <r>
      <rPr>
        <sz val="10"/>
        <rFont val="Yu Gothic"/>
        <family val="0"/>
        <charset val="1"/>
      </rPr>
      <t xml:space="preserve">v1</t>
    </r>
    <r>
      <rPr>
        <sz val="10"/>
        <rFont val="WenQuanYi Zen Hei"/>
        <family val="2"/>
      </rPr>
      <t xml:space="preserve">基準値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税務顧問</t>
    </r>
    <r>
      <rPr>
        <sz val="10"/>
        <rFont val="Yu Gothic"/>
        <family val="0"/>
        <charset val="1"/>
      </rPr>
      <t xml:space="preserve">171</t>
    </r>
    <r>
      <rPr>
        <sz val="10"/>
        <rFont val="WenQuanYi Zen Hei"/>
        <family val="2"/>
      </rPr>
      <t xml:space="preserve">件・報酬合計</t>
    </r>
    <r>
      <rPr>
        <sz val="10"/>
        <rFont val="Yu Gothic"/>
        <family val="0"/>
        <charset val="1"/>
      </rPr>
      <t xml:space="preserve">72,530,000</t>
    </r>
    <r>
      <rPr>
        <sz val="10"/>
        <rFont val="WenQuanYi Zen Hei"/>
        <family val="2"/>
      </rPr>
      <t xml:space="preserve">円・上位</t>
    </r>
    <r>
      <rPr>
        <sz val="10"/>
        <rFont val="Yu Gothic"/>
        <family val="0"/>
        <charset val="1"/>
      </rPr>
      <t xml:space="preserve">20%(35</t>
    </r>
    <r>
      <rPr>
        <sz val="10"/>
        <rFont val="WenQuanYi Zen Hei"/>
        <family val="2"/>
      </rPr>
      <t xml:space="preserve">件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で売上</t>
    </r>
    <r>
      <rPr>
        <sz val="10"/>
        <rFont val="Yu Gothic"/>
        <family val="0"/>
        <charset val="1"/>
      </rPr>
      <t xml:space="preserve">46%</t>
    </r>
    <r>
      <rPr>
        <sz val="10"/>
        <rFont val="WenQuanYi Zen Hei"/>
        <family val="2"/>
      </rPr>
      <t xml:space="preserve">（出所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前セッション</t>
    </r>
    <r>
      <rPr>
        <sz val="10"/>
        <rFont val="Yu Gothic"/>
        <family val="0"/>
        <charset val="1"/>
      </rPr>
      <t xml:space="preserve">LTV</t>
    </r>
    <r>
      <rPr>
        <sz val="10"/>
        <rFont val="WenQuanYi Zen Hei"/>
        <family val="2"/>
      </rPr>
      <t xml:space="preserve">測定</t>
    </r>
    <r>
      <rPr>
        <sz val="10"/>
        <rFont val="Yu Gothic"/>
        <family val="0"/>
        <charset val="1"/>
      </rPr>
      <t xml:space="preserve">v1</t>
    </r>
    <r>
      <rPr>
        <sz val="10"/>
        <rFont val="WenQuanYi Zen Hei"/>
        <family val="2"/>
      </rPr>
      <t xml:space="preserve">、マネーフォワード契約データ集計）</t>
    </r>
  </si>
  <si>
    <r>
      <rPr>
        <b val="true"/>
        <sz val="10"/>
        <rFont val="WenQuanYi Zen Hei"/>
        <family val="2"/>
      </rPr>
      <t xml:space="preserve">■ 中位</t>
    </r>
    <r>
      <rPr>
        <b val="true"/>
        <sz val="10"/>
        <rFont val="Yu Gothic"/>
        <family val="0"/>
        <charset val="1"/>
      </rPr>
      <t xml:space="preserve">60%</t>
    </r>
    <r>
      <rPr>
        <b val="true"/>
        <sz val="10"/>
        <rFont val="WenQuanYi Zen Hei"/>
        <family val="2"/>
      </rPr>
      <t xml:space="preserve">アップセルポテンシャル</t>
    </r>
  </si>
  <si>
    <t xml:space="preserve">指標</t>
  </si>
  <si>
    <t xml:space="preserve">値</t>
  </si>
  <si>
    <r>
      <rPr>
        <sz val="10"/>
        <rFont val="WenQuanYi Zen Hei"/>
        <family val="2"/>
      </rPr>
      <t xml:space="preserve">中位</t>
    </r>
    <r>
      <rPr>
        <sz val="10"/>
        <rFont val="Yu Gothic"/>
        <family val="0"/>
        <charset val="1"/>
      </rPr>
      <t xml:space="preserve">60%</t>
    </r>
    <r>
      <rPr>
        <sz val="10"/>
        <rFont val="WenQuanYi Zen Hei"/>
        <family val="2"/>
      </rPr>
      <t xml:space="preserve">件数</t>
    </r>
  </si>
  <si>
    <r>
      <rPr>
        <sz val="10"/>
        <rFont val="WenQuanYi Zen Hei"/>
        <family val="2"/>
      </rPr>
      <t xml:space="preserve">ポテンシャル（</t>
    </r>
    <r>
      <rPr>
        <sz val="10"/>
        <rFont val="Yu Gothic"/>
        <family val="0"/>
        <charset val="1"/>
      </rPr>
      <t xml:space="preserve">+10</t>
    </r>
    <r>
      <rPr>
        <sz val="10"/>
        <rFont val="WenQuanYi Zen Hei"/>
        <family val="2"/>
      </rPr>
      <t xml:space="preserve">万円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社の場合）</t>
    </r>
  </si>
  <si>
    <r>
      <rPr>
        <sz val="10"/>
        <rFont val="WenQuanYi Zen Hei"/>
        <family val="2"/>
      </rPr>
      <t xml:space="preserve">個別提案額の入力合計（中位</t>
    </r>
    <r>
      <rPr>
        <sz val="10"/>
        <rFont val="Yu Gothic"/>
        <family val="0"/>
        <charset val="1"/>
      </rPr>
      <t xml:space="preserve">60%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</si>
  <si>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優先度スコア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以上の先数（最優先アプローチ）</t>
    </r>
  </si>
  <si>
    <r>
      <rPr>
        <b val="true"/>
        <sz val="10"/>
        <rFont val="WenQuanYi Zen Hei"/>
        <family val="2"/>
      </rPr>
      <t xml:space="preserve">■ 担当者別・中位</t>
    </r>
    <r>
      <rPr>
        <b val="true"/>
        <sz val="10"/>
        <rFont val="Yu Gothic"/>
        <family val="0"/>
        <charset val="1"/>
      </rPr>
      <t xml:space="preserve">60%</t>
    </r>
    <r>
      <rPr>
        <b val="true"/>
        <sz val="10"/>
        <rFont val="WenQuanYi Zen Hei"/>
        <family val="2"/>
      </rPr>
      <t xml:space="preserve">件数／提案額</t>
    </r>
  </si>
  <si>
    <r>
      <rPr>
        <b val="true"/>
        <sz val="10"/>
        <color rgb="FFFFFFFF"/>
        <rFont val="WenQuanYi Zen Hei"/>
        <family val="2"/>
      </rPr>
      <t xml:space="preserve">中位</t>
    </r>
    <r>
      <rPr>
        <b val="true"/>
        <sz val="10"/>
        <color rgb="FFFFFFFF"/>
        <rFont val="Yu Gothic"/>
        <family val="0"/>
        <charset val="1"/>
      </rPr>
      <t xml:space="preserve">60%</t>
    </r>
    <r>
      <rPr>
        <b val="true"/>
        <sz val="10"/>
        <color rgb="FFFFFFFF"/>
        <rFont val="WenQuanYi Zen Hei"/>
        <family val="2"/>
      </rPr>
      <t xml:space="preserve">件数</t>
    </r>
  </si>
  <si>
    <r>
      <rPr>
        <b val="true"/>
        <sz val="10"/>
        <color rgb="FFFFFFFF"/>
        <rFont val="WenQuanYi Zen Hei"/>
        <family val="2"/>
      </rPr>
      <t xml:space="preserve">提案額合計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</si>
  <si>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（担当未設定）</t>
  </si>
  <si>
    <r>
      <rPr>
        <b val="true"/>
        <sz val="10"/>
        <rFont val="WenQuanYi Zen Hei"/>
        <family val="2"/>
      </rPr>
      <t xml:space="preserve">■ ステータス別（中位</t>
    </r>
    <r>
      <rPr>
        <b val="true"/>
        <sz val="10"/>
        <rFont val="Yu Gothic"/>
        <family val="0"/>
        <charset val="1"/>
      </rPr>
      <t xml:space="preserve">60%</t>
    </r>
    <r>
      <rPr>
        <b val="true"/>
        <sz val="10"/>
        <rFont val="WenQuanYi Zen Hei"/>
        <family val="2"/>
      </rPr>
      <t xml:space="preserve">）</t>
    </r>
  </si>
  <si>
    <t xml:space="preserve">提案済</t>
  </si>
  <si>
    <t xml:space="preserve">受注</t>
  </si>
  <si>
    <t xml:space="preserve">見送り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</si>
</sst>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Yu Gothic"/>
      <family val="0"/>
      <charset val="1"/>
    </font>
    <font>
      <sz val="10"/>
      <name val="WenQuanYi Zen Hei"/>
      <family val="2"/>
    </font>
    <font>
      <sz val="10"/>
      <name val="Yu Gothic"/>
      <family val="0"/>
      <charset val="1"/>
    </font>
    <font>
      <b val="true"/>
      <sz val="10"/>
      <name val="WenQuanYi Zen Hei"/>
      <family val="2"/>
    </font>
    <font>
      <b val="true"/>
      <sz val="10"/>
      <name val="Yu Gothic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Yu Gothic"/>
      <family val="0"/>
      <charset val="1"/>
    </font>
    <font>
      <sz val="10"/>
      <color rgb="FF0000FF"/>
      <name val="Yu Gothic"/>
      <family val="0"/>
      <charset val="1"/>
    </font>
    <font>
      <sz val="10"/>
      <color rgb="FF0000FF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4.15" hidden="false" customHeight="false" outlineLevel="0" collapsed="false">
      <c r="A5" s="2" t="s">
        <v>3</v>
      </c>
    </row>
    <row r="7" customFormat="false" ht="14.15" hidden="false" customHeight="false" outlineLevel="0" collapsed="false">
      <c r="A7" s="3" t="s">
        <v>4</v>
      </c>
    </row>
    <row r="8" customFormat="false" ht="14.15" hidden="false" customHeight="false" outlineLevel="0" collapsed="false">
      <c r="A8" s="2" t="s">
        <v>5</v>
      </c>
    </row>
    <row r="9" customFormat="false" ht="14.15" hidden="false" customHeight="false" outlineLevel="0" collapsed="false">
      <c r="A9" s="2" t="s">
        <v>6</v>
      </c>
    </row>
    <row r="10" customFormat="false" ht="14.15" hidden="false" customHeight="false" outlineLevel="0" collapsed="false">
      <c r="A10" s="2" t="s">
        <v>7</v>
      </c>
    </row>
    <row r="11" customFormat="false" ht="14.15" hidden="false" customHeight="false" outlineLevel="0" collapsed="false">
      <c r="A11" s="2" t="s">
        <v>8</v>
      </c>
    </row>
    <row r="12" customFormat="false" ht="14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20" customFormat="false" ht="14.15" hidden="false" customHeight="false" outlineLevel="0" collapsed="false">
      <c r="A20" s="3" t="s">
        <v>15</v>
      </c>
    </row>
    <row r="21" customFormat="false" ht="14.15" hidden="false" customHeight="false" outlineLevel="0" collapsed="false">
      <c r="A21" s="2" t="s">
        <v>16</v>
      </c>
    </row>
    <row r="22" customFormat="false" ht="14.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4.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4.15" hidden="false" customHeight="false" outlineLevel="0" collapsed="false">
      <c r="A27" s="2" t="s">
        <v>22</v>
      </c>
    </row>
    <row r="29" customFormat="false" ht="14.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2" t="s">
        <v>24</v>
      </c>
    </row>
    <row r="32" customFormat="false" ht="15" hidden="false" customHeight="false" outlineLevel="0" collapsed="false">
      <c r="A32" s="3" t="s">
        <v>25</v>
      </c>
    </row>
    <row r="33" customFormat="false" ht="14.15" hidden="false" customHeight="false" outlineLevel="0" collapsed="false">
      <c r="A33" s="2" t="s">
        <v>26</v>
      </c>
    </row>
    <row r="34" customFormat="false" ht="14.15" hidden="false" customHeight="false" outlineLevel="0" collapsed="false">
      <c r="A34" s="2" t="s">
        <v>27</v>
      </c>
    </row>
    <row r="35" customFormat="false" ht="14.15" hidden="false" customHeight="false" outlineLevel="0" collapsed="false">
      <c r="A35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true" outlineLevel="0" max="10" min="10" style="0" width="6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22" min="17" style="0" width="8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14"/>
    <col collapsed="false" customWidth="true" hidden="false" outlineLevel="0" max="26" min="26" style="0" width="11"/>
    <col collapsed="false" customWidth="true" hidden="false" outlineLevel="0" max="27" min="27" style="0" width="26"/>
    <col collapsed="false" customWidth="true" hidden="false" outlineLevel="0" max="28" min="28" style="0" width="12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3" customFormat="false" ht="42" hidden="false" customHeight="true" outlineLevel="0" collapsed="false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  <c r="U3" s="4" t="s">
        <v>51</v>
      </c>
      <c r="V3" s="4" t="s">
        <v>52</v>
      </c>
      <c r="W3" s="4" t="s">
        <v>53</v>
      </c>
      <c r="X3" s="4" t="s">
        <v>54</v>
      </c>
      <c r="Y3" s="4" t="s">
        <v>55</v>
      </c>
      <c r="Z3" s="4" t="s">
        <v>56</v>
      </c>
      <c r="AA3" s="4" t="s">
        <v>57</v>
      </c>
      <c r="AB3" s="4" t="s">
        <v>58</v>
      </c>
    </row>
    <row r="4" customFormat="false" ht="15" hidden="false" customHeight="false" outlineLevel="0" collapsed="false">
      <c r="A4" s="5" t="s">
        <v>59</v>
      </c>
      <c r="B4" s="6" t="s">
        <v>60</v>
      </c>
      <c r="C4" s="7" t="s">
        <v>61</v>
      </c>
      <c r="D4" s="7" t="n">
        <v>3</v>
      </c>
      <c r="E4" s="6" t="s">
        <v>62</v>
      </c>
      <c r="F4" s="7" t="s">
        <v>63</v>
      </c>
      <c r="G4" s="8" t="s">
        <v>64</v>
      </c>
      <c r="H4" s="9" t="n">
        <v>0</v>
      </c>
      <c r="I4" s="10" t="n">
        <v>660000</v>
      </c>
      <c r="J4" s="7" t="n">
        <v>0</v>
      </c>
      <c r="K4" s="5" t="s">
        <v>65</v>
      </c>
      <c r="L4" s="5" t="s">
        <v>66</v>
      </c>
      <c r="M4" s="5" t="s">
        <v>67</v>
      </c>
      <c r="N4" s="7"/>
      <c r="O4" s="9" t="s">
        <v>68</v>
      </c>
      <c r="P4" s="9"/>
      <c r="Q4" s="9" t="n">
        <v>1</v>
      </c>
      <c r="R4" s="9" t="n">
        <v>0</v>
      </c>
      <c r="S4" s="9" t="n">
        <v>0</v>
      </c>
      <c r="T4" s="9" t="n">
        <v>1</v>
      </c>
      <c r="U4" s="9" t="n">
        <v>1</v>
      </c>
      <c r="V4" s="9" t="n">
        <v>1</v>
      </c>
      <c r="W4" s="7" t="s">
        <v>69</v>
      </c>
      <c r="X4" s="7" t="n">
        <v>5</v>
      </c>
      <c r="Y4" s="11" t="s">
        <v>70</v>
      </c>
      <c r="Z4" s="10" t="n">
        <v>100000</v>
      </c>
      <c r="AA4" s="12" t="s">
        <v>71</v>
      </c>
      <c r="AB4" s="11" t="s">
        <v>72</v>
      </c>
    </row>
    <row r="5" customFormat="false" ht="15" hidden="false" customHeight="false" outlineLevel="0" collapsed="false">
      <c r="A5" s="13" t="s">
        <v>73</v>
      </c>
      <c r="B5" s="14" t="s">
        <v>74</v>
      </c>
      <c r="C5" s="15" t="s">
        <v>61</v>
      </c>
      <c r="D5" s="15" t="n">
        <v>1</v>
      </c>
      <c r="E5" s="14" t="s">
        <v>75</v>
      </c>
      <c r="F5" s="15" t="s">
        <v>63</v>
      </c>
      <c r="G5" s="16" t="s">
        <v>76</v>
      </c>
      <c r="H5" s="17" t="n">
        <v>1</v>
      </c>
      <c r="I5" s="18"/>
      <c r="J5" s="15" t="n">
        <f aca="false">IF(AND(H5=1,N(I5)&gt;0),1,0)</f>
        <v>0</v>
      </c>
      <c r="K5" s="15" t="str">
        <f aca="false">IF(J5=1,SUMPRODUCT(($J$5:$J$312=1)*(N($I$5:$I$312)&gt;N(I5)))+1,"")</f>
        <v/>
      </c>
      <c r="L5" s="15" t="str">
        <f aca="false">IF(J5&lt;&gt;1,"",IF(K5&lt;=ROUND(SUM($J$5:$J$312)*0.2,0),"上位20%",IF(K5&lt;=ROUND(SUM($J$5:$J$312)*0.8,0),"中位60%","下位20%")))</f>
        <v/>
      </c>
      <c r="M5" s="15" t="str">
        <f aca="false">IF(F5="あり","◎","")</f>
        <v>◎</v>
      </c>
      <c r="N5" s="15" t="str">
        <f aca="false">IF(OR(LEFT(G5,1)="A",LEFT(G5,1)="B"),"◎","")</f>
        <v>◎</v>
      </c>
      <c r="O5" s="19"/>
      <c r="P5" s="19"/>
      <c r="Q5" s="19"/>
      <c r="R5" s="19"/>
      <c r="S5" s="19"/>
      <c r="T5" s="19"/>
      <c r="U5" s="19"/>
      <c r="V5" s="19"/>
      <c r="W5" s="15" t="str">
        <f aca="false">IF((N(Q5)+N(R5)+N(S5)+N(T5)+N(U5)+N(V5))=0,"",IF(AND((N(Q5)+N(R5)+N(T5))&gt;=2,(N(Q5)+N(R5)+N(S5)+N(T5)+N(U5)+N(V5))&gt;=4),"高",IF(AND((N(Q5)+N(R5)+N(T5))&gt;=1,(N(Q5)+N(R5)+N(S5)+N(T5)+N(U5)+N(V5))=3),"中","低")))</f>
        <v/>
      </c>
      <c r="X5" s="15" t="str">
        <f aca="false">IF(L5="中位60%",IF(W5="高",3,IF(W5="中",2,IF(W5="低",1,0)))+IF(M5="◎",1,0)+IF(N5="◎",1,0)+IF(O5="○",1,0)+IF(P5="○",1,0),"")</f>
        <v/>
      </c>
      <c r="Y5" s="20"/>
      <c r="Z5" s="18"/>
      <c r="AA5" s="20"/>
      <c r="AB5" s="20"/>
    </row>
    <row r="6" customFormat="false" ht="15" hidden="false" customHeight="false" outlineLevel="0" collapsed="false">
      <c r="A6" s="13" t="s">
        <v>77</v>
      </c>
      <c r="B6" s="14" t="s">
        <v>78</v>
      </c>
      <c r="C6" s="15" t="s">
        <v>61</v>
      </c>
      <c r="D6" s="15" t="n">
        <v>1</v>
      </c>
      <c r="E6" s="14" t="s">
        <v>79</v>
      </c>
      <c r="F6" s="15" t="s">
        <v>80</v>
      </c>
      <c r="G6" s="14"/>
      <c r="H6" s="17" t="n">
        <v>1</v>
      </c>
      <c r="I6" s="18"/>
      <c r="J6" s="15" t="n">
        <f aca="false">IF(AND(H6=1,N(I6)&gt;0),1,0)</f>
        <v>0</v>
      </c>
      <c r="K6" s="15" t="str">
        <f aca="false">IF(J6=1,SUMPRODUCT(($J$5:$J$312=1)*(N($I$5:$I$312)&gt;N(I6)))+1,"")</f>
        <v/>
      </c>
      <c r="L6" s="15" t="str">
        <f aca="false">IF(J6&lt;&gt;1,"",IF(K6&lt;=ROUND(SUM($J$5:$J$312)*0.2,0),"上位20%",IF(K6&lt;=ROUND(SUM($J$5:$J$312)*0.8,0),"中位60%","下位20%")))</f>
        <v/>
      </c>
      <c r="M6" s="15" t="str">
        <f aca="false">IF(F6="あり","◎","")</f>
        <v/>
      </c>
      <c r="N6" s="15" t="str">
        <f aca="false">IF(OR(LEFT(G6,1)="A",LEFT(G6,1)="B"),"◎","")</f>
        <v/>
      </c>
      <c r="O6" s="19"/>
      <c r="P6" s="19"/>
      <c r="Q6" s="19"/>
      <c r="R6" s="19"/>
      <c r="S6" s="19"/>
      <c r="T6" s="19"/>
      <c r="U6" s="19"/>
      <c r="V6" s="19"/>
      <c r="W6" s="15" t="str">
        <f aca="false">IF((N(Q6)+N(R6)+N(S6)+N(T6)+N(U6)+N(V6))=0,"",IF(AND((N(Q6)+N(R6)+N(T6))&gt;=2,(N(Q6)+N(R6)+N(S6)+N(T6)+N(U6)+N(V6))&gt;=4),"高",IF(AND((N(Q6)+N(R6)+N(T6))&gt;=1,(N(Q6)+N(R6)+N(S6)+N(T6)+N(U6)+N(V6))=3),"中","低")))</f>
        <v/>
      </c>
      <c r="X6" s="15" t="str">
        <f aca="false">IF(L6="中位60%",IF(W6="高",3,IF(W6="中",2,IF(W6="低",1,0)))+IF(M6="◎",1,0)+IF(N6="◎",1,0)+IF(O6="○",1,0)+IF(P6="○",1,0),"")</f>
        <v/>
      </c>
      <c r="Y6" s="20"/>
      <c r="Z6" s="18"/>
      <c r="AA6" s="20"/>
      <c r="AB6" s="20"/>
    </row>
    <row r="7" customFormat="false" ht="15" hidden="false" customHeight="false" outlineLevel="0" collapsed="false">
      <c r="A7" s="13" t="s">
        <v>81</v>
      </c>
      <c r="B7" s="14" t="s">
        <v>82</v>
      </c>
      <c r="C7" s="15" t="s">
        <v>61</v>
      </c>
      <c r="D7" s="15" t="n">
        <v>2</v>
      </c>
      <c r="E7" s="14" t="s">
        <v>83</v>
      </c>
      <c r="F7" s="15" t="s">
        <v>63</v>
      </c>
      <c r="G7" s="16" t="s">
        <v>64</v>
      </c>
      <c r="H7" s="17" t="n">
        <v>1</v>
      </c>
      <c r="I7" s="18"/>
      <c r="J7" s="15" t="n">
        <f aca="false">IF(AND(H7=1,N(I7)&gt;0),1,0)</f>
        <v>0</v>
      </c>
      <c r="K7" s="15" t="str">
        <f aca="false">IF(J7=1,SUMPRODUCT(($J$5:$J$312=1)*(N($I$5:$I$312)&gt;N(I7)))+1,"")</f>
        <v/>
      </c>
      <c r="L7" s="15" t="str">
        <f aca="false">IF(J7&lt;&gt;1,"",IF(K7&lt;=ROUND(SUM($J$5:$J$312)*0.2,0),"上位20%",IF(K7&lt;=ROUND(SUM($J$5:$J$312)*0.8,0),"中位60%","下位20%")))</f>
        <v/>
      </c>
      <c r="M7" s="15" t="str">
        <f aca="false">IF(F7="あり","◎","")</f>
        <v>◎</v>
      </c>
      <c r="N7" s="15" t="str">
        <f aca="false">IF(OR(LEFT(G7,1)="A",LEFT(G7,1)="B"),"◎","")</f>
        <v/>
      </c>
      <c r="O7" s="19"/>
      <c r="P7" s="19"/>
      <c r="Q7" s="19"/>
      <c r="R7" s="19"/>
      <c r="S7" s="19"/>
      <c r="T7" s="19"/>
      <c r="U7" s="19"/>
      <c r="V7" s="19"/>
      <c r="W7" s="15" t="str">
        <f aca="false">IF((N(Q7)+N(R7)+N(S7)+N(T7)+N(U7)+N(V7))=0,"",IF(AND((N(Q7)+N(R7)+N(T7))&gt;=2,(N(Q7)+N(R7)+N(S7)+N(T7)+N(U7)+N(V7))&gt;=4),"高",IF(AND((N(Q7)+N(R7)+N(T7))&gt;=1,(N(Q7)+N(R7)+N(S7)+N(T7)+N(U7)+N(V7))=3),"中","低")))</f>
        <v/>
      </c>
      <c r="X7" s="15" t="str">
        <f aca="false">IF(L7="中位60%",IF(W7="高",3,IF(W7="中",2,IF(W7="低",1,0)))+IF(M7="◎",1,0)+IF(N7="◎",1,0)+IF(O7="○",1,0)+IF(P7="○",1,0),"")</f>
        <v/>
      </c>
      <c r="Y7" s="20"/>
      <c r="Z7" s="18"/>
      <c r="AA7" s="20"/>
      <c r="AB7" s="20"/>
    </row>
    <row r="8" customFormat="false" ht="15" hidden="false" customHeight="false" outlineLevel="0" collapsed="false">
      <c r="A8" s="13" t="s">
        <v>84</v>
      </c>
      <c r="B8" s="14" t="s">
        <v>85</v>
      </c>
      <c r="C8" s="15" t="s">
        <v>61</v>
      </c>
      <c r="D8" s="15" t="n">
        <v>2</v>
      </c>
      <c r="E8" s="14" t="s">
        <v>79</v>
      </c>
      <c r="F8" s="15" t="s">
        <v>80</v>
      </c>
      <c r="G8" s="16" t="s">
        <v>64</v>
      </c>
      <c r="H8" s="17" t="n">
        <v>1</v>
      </c>
      <c r="I8" s="18"/>
      <c r="J8" s="15" t="n">
        <f aca="false">IF(AND(H8=1,N(I8)&gt;0),1,0)</f>
        <v>0</v>
      </c>
      <c r="K8" s="15" t="str">
        <f aca="false">IF(J8=1,SUMPRODUCT(($J$5:$J$312=1)*(N($I$5:$I$312)&gt;N(I8)))+1,"")</f>
        <v/>
      </c>
      <c r="L8" s="15" t="str">
        <f aca="false">IF(J8&lt;&gt;1,"",IF(K8&lt;=ROUND(SUM($J$5:$J$312)*0.2,0),"上位20%",IF(K8&lt;=ROUND(SUM($J$5:$J$312)*0.8,0),"中位60%","下位20%")))</f>
        <v/>
      </c>
      <c r="M8" s="15" t="str">
        <f aca="false">IF(F8="あり","◎","")</f>
        <v/>
      </c>
      <c r="N8" s="15" t="str">
        <f aca="false">IF(OR(LEFT(G8,1)="A",LEFT(G8,1)="B"),"◎","")</f>
        <v/>
      </c>
      <c r="O8" s="19"/>
      <c r="P8" s="19"/>
      <c r="Q8" s="19"/>
      <c r="R8" s="19"/>
      <c r="S8" s="19"/>
      <c r="T8" s="19"/>
      <c r="U8" s="19"/>
      <c r="V8" s="19"/>
      <c r="W8" s="15" t="str">
        <f aca="false">IF((N(Q8)+N(R8)+N(S8)+N(T8)+N(U8)+N(V8))=0,"",IF(AND((N(Q8)+N(R8)+N(T8))&gt;=2,(N(Q8)+N(R8)+N(S8)+N(T8)+N(U8)+N(V8))&gt;=4),"高",IF(AND((N(Q8)+N(R8)+N(T8))&gt;=1,(N(Q8)+N(R8)+N(S8)+N(T8)+N(U8)+N(V8))=3),"中","低")))</f>
        <v/>
      </c>
      <c r="X8" s="15" t="str">
        <f aca="false">IF(L8="中位60%",IF(W8="高",3,IF(W8="中",2,IF(W8="低",1,0)))+IF(M8="◎",1,0)+IF(N8="◎",1,0)+IF(O8="○",1,0)+IF(P8="○",1,0),"")</f>
        <v/>
      </c>
      <c r="Y8" s="20"/>
      <c r="Z8" s="18"/>
      <c r="AA8" s="20"/>
      <c r="AB8" s="20"/>
    </row>
    <row r="9" customFormat="false" ht="15" hidden="false" customHeight="false" outlineLevel="0" collapsed="false">
      <c r="A9" s="13" t="s">
        <v>86</v>
      </c>
      <c r="B9" s="14" t="s">
        <v>87</v>
      </c>
      <c r="C9" s="15" t="s">
        <v>61</v>
      </c>
      <c r="D9" s="15" t="n">
        <v>7</v>
      </c>
      <c r="E9" s="14" t="s">
        <v>62</v>
      </c>
      <c r="F9" s="15" t="s">
        <v>63</v>
      </c>
      <c r="G9" s="16" t="s">
        <v>88</v>
      </c>
      <c r="H9" s="17" t="n">
        <v>1</v>
      </c>
      <c r="I9" s="18"/>
      <c r="J9" s="15" t="n">
        <f aca="false">IF(AND(H9=1,N(I9)&gt;0),1,0)</f>
        <v>0</v>
      </c>
      <c r="K9" s="15" t="str">
        <f aca="false">IF(J9=1,SUMPRODUCT(($J$5:$J$312=1)*(N($I$5:$I$312)&gt;N(I9)))+1,"")</f>
        <v/>
      </c>
      <c r="L9" s="15" t="str">
        <f aca="false">IF(J9&lt;&gt;1,"",IF(K9&lt;=ROUND(SUM($J$5:$J$312)*0.2,0),"上位20%",IF(K9&lt;=ROUND(SUM($J$5:$J$312)*0.8,0),"中位60%","下位20%")))</f>
        <v/>
      </c>
      <c r="M9" s="15" t="str">
        <f aca="false">IF(F9="あり","◎","")</f>
        <v>◎</v>
      </c>
      <c r="N9" s="15" t="str">
        <f aca="false">IF(OR(LEFT(G9,1)="A",LEFT(G9,1)="B"),"◎","")</f>
        <v/>
      </c>
      <c r="O9" s="19"/>
      <c r="P9" s="19"/>
      <c r="Q9" s="19"/>
      <c r="R9" s="19"/>
      <c r="S9" s="19"/>
      <c r="T9" s="19"/>
      <c r="U9" s="19"/>
      <c r="V9" s="19"/>
      <c r="W9" s="15" t="str">
        <f aca="false">IF((N(Q9)+N(R9)+N(S9)+N(T9)+N(U9)+N(V9))=0,"",IF(AND((N(Q9)+N(R9)+N(T9))&gt;=2,(N(Q9)+N(R9)+N(S9)+N(T9)+N(U9)+N(V9))&gt;=4),"高",IF(AND((N(Q9)+N(R9)+N(T9))&gt;=1,(N(Q9)+N(R9)+N(S9)+N(T9)+N(U9)+N(V9))=3),"中","低")))</f>
        <v/>
      </c>
      <c r="X9" s="15" t="str">
        <f aca="false">IF(L9="中位60%",IF(W9="高",3,IF(W9="中",2,IF(W9="低",1,0)))+IF(M9="◎",1,0)+IF(N9="◎",1,0)+IF(O9="○",1,0)+IF(P9="○",1,0),"")</f>
        <v/>
      </c>
      <c r="Y9" s="20"/>
      <c r="Z9" s="18"/>
      <c r="AA9" s="20"/>
      <c r="AB9" s="20"/>
    </row>
    <row r="10" customFormat="false" ht="15" hidden="false" customHeight="false" outlineLevel="0" collapsed="false">
      <c r="A10" s="13" t="s">
        <v>89</v>
      </c>
      <c r="B10" s="14" t="s">
        <v>90</v>
      </c>
      <c r="C10" s="15" t="s">
        <v>61</v>
      </c>
      <c r="D10" s="15" t="n">
        <v>2</v>
      </c>
      <c r="E10" s="14" t="s">
        <v>91</v>
      </c>
      <c r="F10" s="15" t="s">
        <v>80</v>
      </c>
      <c r="G10" s="16" t="s">
        <v>76</v>
      </c>
      <c r="H10" s="17" t="n">
        <v>1</v>
      </c>
      <c r="I10" s="18"/>
      <c r="J10" s="15" t="n">
        <f aca="false">IF(AND(H10=1,N(I10)&gt;0),1,0)</f>
        <v>0</v>
      </c>
      <c r="K10" s="15" t="str">
        <f aca="false">IF(J10=1,SUMPRODUCT(($J$5:$J$312=1)*(N($I$5:$I$312)&gt;N(I10)))+1,"")</f>
        <v/>
      </c>
      <c r="L10" s="15" t="str">
        <f aca="false">IF(J10&lt;&gt;1,"",IF(K10&lt;=ROUND(SUM($J$5:$J$312)*0.2,0),"上位20%",IF(K10&lt;=ROUND(SUM($J$5:$J$312)*0.8,0),"中位60%","下位20%")))</f>
        <v/>
      </c>
      <c r="M10" s="15" t="str">
        <f aca="false">IF(F10="あり","◎","")</f>
        <v/>
      </c>
      <c r="N10" s="15" t="str">
        <f aca="false">IF(OR(LEFT(G10,1)="A",LEFT(G10,1)="B"),"◎","")</f>
        <v>◎</v>
      </c>
      <c r="O10" s="19"/>
      <c r="P10" s="19"/>
      <c r="Q10" s="19"/>
      <c r="R10" s="19"/>
      <c r="S10" s="19"/>
      <c r="T10" s="19"/>
      <c r="U10" s="19"/>
      <c r="V10" s="19"/>
      <c r="W10" s="15" t="str">
        <f aca="false">IF((N(Q10)+N(R10)+N(S10)+N(T10)+N(U10)+N(V10))=0,"",IF(AND((N(Q10)+N(R10)+N(T10))&gt;=2,(N(Q10)+N(R10)+N(S10)+N(T10)+N(U10)+N(V10))&gt;=4),"高",IF(AND((N(Q10)+N(R10)+N(T10))&gt;=1,(N(Q10)+N(R10)+N(S10)+N(T10)+N(U10)+N(V10))=3),"中","低")))</f>
        <v/>
      </c>
      <c r="X10" s="15" t="str">
        <f aca="false">IF(L10="中位60%",IF(W10="高",3,IF(W10="中",2,IF(W10="低",1,0)))+IF(M10="◎",1,0)+IF(N10="◎",1,0)+IF(O10="○",1,0)+IF(P10="○",1,0),"")</f>
        <v/>
      </c>
      <c r="Y10" s="20"/>
      <c r="Z10" s="18"/>
      <c r="AA10" s="20"/>
      <c r="AB10" s="20"/>
    </row>
    <row r="11" customFormat="false" ht="15" hidden="false" customHeight="false" outlineLevel="0" collapsed="false">
      <c r="A11" s="13" t="s">
        <v>92</v>
      </c>
      <c r="B11" s="14" t="s">
        <v>93</v>
      </c>
      <c r="C11" s="15" t="s">
        <v>61</v>
      </c>
      <c r="D11" s="15" t="n">
        <v>2</v>
      </c>
      <c r="E11" s="14" t="s">
        <v>94</v>
      </c>
      <c r="F11" s="15" t="s">
        <v>63</v>
      </c>
      <c r="G11" s="14"/>
      <c r="H11" s="17" t="n">
        <v>1</v>
      </c>
      <c r="I11" s="18"/>
      <c r="J11" s="15" t="n">
        <f aca="false">IF(AND(H11=1,N(I11)&gt;0),1,0)</f>
        <v>0</v>
      </c>
      <c r="K11" s="15" t="str">
        <f aca="false">IF(J11=1,SUMPRODUCT(($J$5:$J$312=1)*(N($I$5:$I$312)&gt;N(I11)))+1,"")</f>
        <v/>
      </c>
      <c r="L11" s="15" t="str">
        <f aca="false">IF(J11&lt;&gt;1,"",IF(K11&lt;=ROUND(SUM($J$5:$J$312)*0.2,0),"上位20%",IF(K11&lt;=ROUND(SUM($J$5:$J$312)*0.8,0),"中位60%","下位20%")))</f>
        <v/>
      </c>
      <c r="M11" s="15" t="str">
        <f aca="false">IF(F11="あり","◎","")</f>
        <v>◎</v>
      </c>
      <c r="N11" s="15" t="str">
        <f aca="false">IF(OR(LEFT(G11,1)="A",LEFT(G11,1)="B"),"◎","")</f>
        <v/>
      </c>
      <c r="O11" s="19"/>
      <c r="P11" s="19"/>
      <c r="Q11" s="19"/>
      <c r="R11" s="19"/>
      <c r="S11" s="19"/>
      <c r="T11" s="19"/>
      <c r="U11" s="19"/>
      <c r="V11" s="19"/>
      <c r="W11" s="15" t="str">
        <f aca="false">IF((N(Q11)+N(R11)+N(S11)+N(T11)+N(U11)+N(V11))=0,"",IF(AND((N(Q11)+N(R11)+N(T11))&gt;=2,(N(Q11)+N(R11)+N(S11)+N(T11)+N(U11)+N(V11))&gt;=4),"高",IF(AND((N(Q11)+N(R11)+N(T11))&gt;=1,(N(Q11)+N(R11)+N(S11)+N(T11)+N(U11)+N(V11))=3),"中","低")))</f>
        <v/>
      </c>
      <c r="X11" s="15" t="str">
        <f aca="false">IF(L11="中位60%",IF(W11="高",3,IF(W11="中",2,IF(W11="低",1,0)))+IF(M11="◎",1,0)+IF(N11="◎",1,0)+IF(O11="○",1,0)+IF(P11="○",1,0),"")</f>
        <v/>
      </c>
      <c r="Y11" s="20"/>
      <c r="Z11" s="18"/>
      <c r="AA11" s="20"/>
      <c r="AB11" s="20"/>
    </row>
    <row r="12" customFormat="false" ht="15" hidden="false" customHeight="false" outlineLevel="0" collapsed="false">
      <c r="A12" s="13" t="s">
        <v>95</v>
      </c>
      <c r="B12" s="14" t="s">
        <v>96</v>
      </c>
      <c r="C12" s="15" t="s">
        <v>61</v>
      </c>
      <c r="D12" s="15" t="n">
        <v>2</v>
      </c>
      <c r="E12" s="14" t="s">
        <v>79</v>
      </c>
      <c r="F12" s="15" t="s">
        <v>80</v>
      </c>
      <c r="G12" s="14"/>
      <c r="H12" s="17" t="n">
        <v>1</v>
      </c>
      <c r="I12" s="18"/>
      <c r="J12" s="15" t="n">
        <f aca="false">IF(AND(H12=1,N(I12)&gt;0),1,0)</f>
        <v>0</v>
      </c>
      <c r="K12" s="15" t="str">
        <f aca="false">IF(J12=1,SUMPRODUCT(($J$5:$J$312=1)*(N($I$5:$I$312)&gt;N(I12)))+1,"")</f>
        <v/>
      </c>
      <c r="L12" s="15" t="str">
        <f aca="false">IF(J12&lt;&gt;1,"",IF(K12&lt;=ROUND(SUM($J$5:$J$312)*0.2,0),"上位20%",IF(K12&lt;=ROUND(SUM($J$5:$J$312)*0.8,0),"中位60%","下位20%")))</f>
        <v/>
      </c>
      <c r="M12" s="15" t="str">
        <f aca="false">IF(F12="あり","◎","")</f>
        <v/>
      </c>
      <c r="N12" s="15" t="str">
        <f aca="false">IF(OR(LEFT(G12,1)="A",LEFT(G12,1)="B"),"◎","")</f>
        <v/>
      </c>
      <c r="O12" s="19"/>
      <c r="P12" s="19"/>
      <c r="Q12" s="19"/>
      <c r="R12" s="19"/>
      <c r="S12" s="19"/>
      <c r="T12" s="19"/>
      <c r="U12" s="19"/>
      <c r="V12" s="19"/>
      <c r="W12" s="15" t="str">
        <f aca="false">IF((N(Q12)+N(R12)+N(S12)+N(T12)+N(U12)+N(V12))=0,"",IF(AND((N(Q12)+N(R12)+N(T12))&gt;=2,(N(Q12)+N(R12)+N(S12)+N(T12)+N(U12)+N(V12))&gt;=4),"高",IF(AND((N(Q12)+N(R12)+N(T12))&gt;=1,(N(Q12)+N(R12)+N(S12)+N(T12)+N(U12)+N(V12))=3),"中","低")))</f>
        <v/>
      </c>
      <c r="X12" s="15" t="str">
        <f aca="false">IF(L12="中位60%",IF(W12="高",3,IF(W12="中",2,IF(W12="低",1,0)))+IF(M12="◎",1,0)+IF(N12="◎",1,0)+IF(O12="○",1,0)+IF(P12="○",1,0),"")</f>
        <v/>
      </c>
      <c r="Y12" s="20"/>
      <c r="Z12" s="18"/>
      <c r="AA12" s="20"/>
      <c r="AB12" s="20"/>
    </row>
    <row r="13" customFormat="false" ht="15" hidden="false" customHeight="false" outlineLevel="0" collapsed="false">
      <c r="A13" s="13" t="s">
        <v>97</v>
      </c>
      <c r="B13" s="14" t="s">
        <v>98</v>
      </c>
      <c r="C13" s="15" t="s">
        <v>61</v>
      </c>
      <c r="D13" s="15" t="n">
        <v>2</v>
      </c>
      <c r="E13" s="14" t="s">
        <v>94</v>
      </c>
      <c r="F13" s="15" t="s">
        <v>63</v>
      </c>
      <c r="G13" s="14"/>
      <c r="H13" s="17" t="n">
        <v>1</v>
      </c>
      <c r="I13" s="18"/>
      <c r="J13" s="15" t="n">
        <f aca="false">IF(AND(H13=1,N(I13)&gt;0),1,0)</f>
        <v>0</v>
      </c>
      <c r="K13" s="15" t="str">
        <f aca="false">IF(J13=1,SUMPRODUCT(($J$5:$J$312=1)*(N($I$5:$I$312)&gt;N(I13)))+1,"")</f>
        <v/>
      </c>
      <c r="L13" s="15" t="str">
        <f aca="false">IF(J13&lt;&gt;1,"",IF(K13&lt;=ROUND(SUM($J$5:$J$312)*0.2,0),"上位20%",IF(K13&lt;=ROUND(SUM($J$5:$J$312)*0.8,0),"中位60%","下位20%")))</f>
        <v/>
      </c>
      <c r="M13" s="15" t="str">
        <f aca="false">IF(F13="あり","◎","")</f>
        <v>◎</v>
      </c>
      <c r="N13" s="15" t="str">
        <f aca="false">IF(OR(LEFT(G13,1)="A",LEFT(G13,1)="B"),"◎","")</f>
        <v/>
      </c>
      <c r="O13" s="19"/>
      <c r="P13" s="19"/>
      <c r="Q13" s="19"/>
      <c r="R13" s="19"/>
      <c r="S13" s="19"/>
      <c r="T13" s="19"/>
      <c r="U13" s="19"/>
      <c r="V13" s="19"/>
      <c r="W13" s="15" t="str">
        <f aca="false">IF((N(Q13)+N(R13)+N(S13)+N(T13)+N(U13)+N(V13))=0,"",IF(AND((N(Q13)+N(R13)+N(T13))&gt;=2,(N(Q13)+N(R13)+N(S13)+N(T13)+N(U13)+N(V13))&gt;=4),"高",IF(AND((N(Q13)+N(R13)+N(T13))&gt;=1,(N(Q13)+N(R13)+N(S13)+N(T13)+N(U13)+N(V13))=3),"中","低")))</f>
        <v/>
      </c>
      <c r="X13" s="15" t="str">
        <f aca="false">IF(L13="中位60%",IF(W13="高",3,IF(W13="中",2,IF(W13="低",1,0)))+IF(M13="◎",1,0)+IF(N13="◎",1,0)+IF(O13="○",1,0)+IF(P13="○",1,0),"")</f>
        <v/>
      </c>
      <c r="Y13" s="20"/>
      <c r="Z13" s="18"/>
      <c r="AA13" s="20"/>
      <c r="AB13" s="20"/>
    </row>
    <row r="14" customFormat="false" ht="15" hidden="false" customHeight="false" outlineLevel="0" collapsed="false">
      <c r="A14" s="13" t="s">
        <v>99</v>
      </c>
      <c r="B14" s="14" t="s">
        <v>100</v>
      </c>
      <c r="C14" s="15" t="s">
        <v>61</v>
      </c>
      <c r="D14" s="15" t="n">
        <v>2</v>
      </c>
      <c r="E14" s="14" t="s">
        <v>101</v>
      </c>
      <c r="F14" s="15" t="s">
        <v>63</v>
      </c>
      <c r="G14" s="14"/>
      <c r="H14" s="17" t="n">
        <v>1</v>
      </c>
      <c r="I14" s="18"/>
      <c r="J14" s="15" t="n">
        <f aca="false">IF(AND(H14=1,N(I14)&gt;0),1,0)</f>
        <v>0</v>
      </c>
      <c r="K14" s="15" t="str">
        <f aca="false">IF(J14=1,SUMPRODUCT(($J$5:$J$312=1)*(N($I$5:$I$312)&gt;N(I14)))+1,"")</f>
        <v/>
      </c>
      <c r="L14" s="15" t="str">
        <f aca="false">IF(J14&lt;&gt;1,"",IF(K14&lt;=ROUND(SUM($J$5:$J$312)*0.2,0),"上位20%",IF(K14&lt;=ROUND(SUM($J$5:$J$312)*0.8,0),"中位60%","下位20%")))</f>
        <v/>
      </c>
      <c r="M14" s="15" t="str">
        <f aca="false">IF(F14="あり","◎","")</f>
        <v>◎</v>
      </c>
      <c r="N14" s="15" t="str">
        <f aca="false">IF(OR(LEFT(G14,1)="A",LEFT(G14,1)="B"),"◎","")</f>
        <v/>
      </c>
      <c r="O14" s="19"/>
      <c r="P14" s="19"/>
      <c r="Q14" s="19"/>
      <c r="R14" s="19"/>
      <c r="S14" s="19"/>
      <c r="T14" s="19"/>
      <c r="U14" s="19"/>
      <c r="V14" s="19"/>
      <c r="W14" s="15" t="str">
        <f aca="false">IF((N(Q14)+N(R14)+N(S14)+N(T14)+N(U14)+N(V14))=0,"",IF(AND((N(Q14)+N(R14)+N(T14))&gt;=2,(N(Q14)+N(R14)+N(S14)+N(T14)+N(U14)+N(V14))&gt;=4),"高",IF(AND((N(Q14)+N(R14)+N(T14))&gt;=1,(N(Q14)+N(R14)+N(S14)+N(T14)+N(U14)+N(V14))=3),"中","低")))</f>
        <v/>
      </c>
      <c r="X14" s="15" t="str">
        <f aca="false">IF(L14="中位60%",IF(W14="高",3,IF(W14="中",2,IF(W14="低",1,0)))+IF(M14="◎",1,0)+IF(N14="◎",1,0)+IF(O14="○",1,0)+IF(P14="○",1,0),"")</f>
        <v/>
      </c>
      <c r="Y14" s="20"/>
      <c r="Z14" s="18"/>
      <c r="AA14" s="20"/>
      <c r="AB14" s="20"/>
    </row>
    <row r="15" customFormat="false" ht="15" hidden="false" customHeight="false" outlineLevel="0" collapsed="false">
      <c r="A15" s="13" t="s">
        <v>102</v>
      </c>
      <c r="B15" s="14" t="s">
        <v>103</v>
      </c>
      <c r="C15" s="15" t="s">
        <v>61</v>
      </c>
      <c r="D15" s="15" t="n">
        <v>3</v>
      </c>
      <c r="E15" s="14" t="s">
        <v>75</v>
      </c>
      <c r="F15" s="15" t="s">
        <v>63</v>
      </c>
      <c r="G15" s="16" t="s">
        <v>88</v>
      </c>
      <c r="H15" s="17" t="n">
        <v>1</v>
      </c>
      <c r="I15" s="18"/>
      <c r="J15" s="15" t="n">
        <f aca="false">IF(AND(H15=1,N(I15)&gt;0),1,0)</f>
        <v>0</v>
      </c>
      <c r="K15" s="15" t="str">
        <f aca="false">IF(J15=1,SUMPRODUCT(($J$5:$J$312=1)*(N($I$5:$I$312)&gt;N(I15)))+1,"")</f>
        <v/>
      </c>
      <c r="L15" s="15" t="str">
        <f aca="false">IF(J15&lt;&gt;1,"",IF(K15&lt;=ROUND(SUM($J$5:$J$312)*0.2,0),"上位20%",IF(K15&lt;=ROUND(SUM($J$5:$J$312)*0.8,0),"中位60%","下位20%")))</f>
        <v/>
      </c>
      <c r="M15" s="15" t="str">
        <f aca="false">IF(F15="あり","◎","")</f>
        <v>◎</v>
      </c>
      <c r="N15" s="15" t="str">
        <f aca="false">IF(OR(LEFT(G15,1)="A",LEFT(G15,1)="B"),"◎","")</f>
        <v/>
      </c>
      <c r="O15" s="19"/>
      <c r="P15" s="19"/>
      <c r="Q15" s="19"/>
      <c r="R15" s="19"/>
      <c r="S15" s="19"/>
      <c r="T15" s="19"/>
      <c r="U15" s="19"/>
      <c r="V15" s="19"/>
      <c r="W15" s="15" t="str">
        <f aca="false">IF((N(Q15)+N(R15)+N(S15)+N(T15)+N(U15)+N(V15))=0,"",IF(AND((N(Q15)+N(R15)+N(T15))&gt;=2,(N(Q15)+N(R15)+N(S15)+N(T15)+N(U15)+N(V15))&gt;=4),"高",IF(AND((N(Q15)+N(R15)+N(T15))&gt;=1,(N(Q15)+N(R15)+N(S15)+N(T15)+N(U15)+N(V15))=3),"中","低")))</f>
        <v/>
      </c>
      <c r="X15" s="15" t="str">
        <f aca="false">IF(L15="中位60%",IF(W15="高",3,IF(W15="中",2,IF(W15="低",1,0)))+IF(M15="◎",1,0)+IF(N15="◎",1,0)+IF(O15="○",1,0)+IF(P15="○",1,0),"")</f>
        <v/>
      </c>
      <c r="Y15" s="20"/>
      <c r="Z15" s="18"/>
      <c r="AA15" s="20"/>
      <c r="AB15" s="20"/>
    </row>
    <row r="16" customFormat="false" ht="15" hidden="false" customHeight="false" outlineLevel="0" collapsed="false">
      <c r="A16" s="13" t="s">
        <v>104</v>
      </c>
      <c r="B16" s="14" t="s">
        <v>105</v>
      </c>
      <c r="C16" s="15" t="s">
        <v>61</v>
      </c>
      <c r="D16" s="15" t="n">
        <v>3</v>
      </c>
      <c r="E16" s="14" t="s">
        <v>79</v>
      </c>
      <c r="F16" s="15" t="s">
        <v>63</v>
      </c>
      <c r="G16" s="16" t="s">
        <v>64</v>
      </c>
      <c r="H16" s="17" t="n">
        <v>1</v>
      </c>
      <c r="I16" s="18"/>
      <c r="J16" s="15" t="n">
        <f aca="false">IF(AND(H16=1,N(I16)&gt;0),1,0)</f>
        <v>0</v>
      </c>
      <c r="K16" s="15" t="str">
        <f aca="false">IF(J16=1,SUMPRODUCT(($J$5:$J$312=1)*(N($I$5:$I$312)&gt;N(I16)))+1,"")</f>
        <v/>
      </c>
      <c r="L16" s="15" t="str">
        <f aca="false">IF(J16&lt;&gt;1,"",IF(K16&lt;=ROUND(SUM($J$5:$J$312)*0.2,0),"上位20%",IF(K16&lt;=ROUND(SUM($J$5:$J$312)*0.8,0),"中位60%","下位20%")))</f>
        <v/>
      </c>
      <c r="M16" s="15" t="str">
        <f aca="false">IF(F16="あり","◎","")</f>
        <v>◎</v>
      </c>
      <c r="N16" s="15" t="str">
        <f aca="false">IF(OR(LEFT(G16,1)="A",LEFT(G16,1)="B"),"◎","")</f>
        <v/>
      </c>
      <c r="O16" s="19"/>
      <c r="P16" s="19"/>
      <c r="Q16" s="19"/>
      <c r="R16" s="19"/>
      <c r="S16" s="19"/>
      <c r="T16" s="19"/>
      <c r="U16" s="19"/>
      <c r="V16" s="19"/>
      <c r="W16" s="15" t="str">
        <f aca="false">IF((N(Q16)+N(R16)+N(S16)+N(T16)+N(U16)+N(V16))=0,"",IF(AND((N(Q16)+N(R16)+N(T16))&gt;=2,(N(Q16)+N(R16)+N(S16)+N(T16)+N(U16)+N(V16))&gt;=4),"高",IF(AND((N(Q16)+N(R16)+N(T16))&gt;=1,(N(Q16)+N(R16)+N(S16)+N(T16)+N(U16)+N(V16))=3),"中","低")))</f>
        <v/>
      </c>
      <c r="X16" s="15" t="str">
        <f aca="false">IF(L16="中位60%",IF(W16="高",3,IF(W16="中",2,IF(W16="低",1,0)))+IF(M16="◎",1,0)+IF(N16="◎",1,0)+IF(O16="○",1,0)+IF(P16="○",1,0),"")</f>
        <v/>
      </c>
      <c r="Y16" s="20"/>
      <c r="Z16" s="18"/>
      <c r="AA16" s="20"/>
      <c r="AB16" s="20"/>
    </row>
    <row r="17" customFormat="false" ht="15" hidden="false" customHeight="false" outlineLevel="0" collapsed="false">
      <c r="A17" s="13" t="s">
        <v>106</v>
      </c>
      <c r="B17" s="14" t="s">
        <v>107</v>
      </c>
      <c r="C17" s="15" t="s">
        <v>61</v>
      </c>
      <c r="D17" s="15" t="n">
        <v>3</v>
      </c>
      <c r="E17" s="14" t="s">
        <v>75</v>
      </c>
      <c r="F17" s="15" t="s">
        <v>80</v>
      </c>
      <c r="G17" s="16" t="s">
        <v>76</v>
      </c>
      <c r="H17" s="17" t="n">
        <v>1</v>
      </c>
      <c r="I17" s="18"/>
      <c r="J17" s="15" t="n">
        <f aca="false">IF(AND(H17=1,N(I17)&gt;0),1,0)</f>
        <v>0</v>
      </c>
      <c r="K17" s="15" t="str">
        <f aca="false">IF(J17=1,SUMPRODUCT(($J$5:$J$312=1)*(N($I$5:$I$312)&gt;N(I17)))+1,"")</f>
        <v/>
      </c>
      <c r="L17" s="15" t="str">
        <f aca="false">IF(J17&lt;&gt;1,"",IF(K17&lt;=ROUND(SUM($J$5:$J$312)*0.2,0),"上位20%",IF(K17&lt;=ROUND(SUM($J$5:$J$312)*0.8,0),"中位60%","下位20%")))</f>
        <v/>
      </c>
      <c r="M17" s="15" t="str">
        <f aca="false">IF(F17="あり","◎","")</f>
        <v/>
      </c>
      <c r="N17" s="15" t="str">
        <f aca="false">IF(OR(LEFT(G17,1)="A",LEFT(G17,1)="B"),"◎","")</f>
        <v>◎</v>
      </c>
      <c r="O17" s="19"/>
      <c r="P17" s="19"/>
      <c r="Q17" s="19"/>
      <c r="R17" s="19"/>
      <c r="S17" s="19"/>
      <c r="T17" s="19"/>
      <c r="U17" s="19"/>
      <c r="V17" s="19"/>
      <c r="W17" s="15" t="str">
        <f aca="false">IF((N(Q17)+N(R17)+N(S17)+N(T17)+N(U17)+N(V17))=0,"",IF(AND((N(Q17)+N(R17)+N(T17))&gt;=2,(N(Q17)+N(R17)+N(S17)+N(T17)+N(U17)+N(V17))&gt;=4),"高",IF(AND((N(Q17)+N(R17)+N(T17))&gt;=1,(N(Q17)+N(R17)+N(S17)+N(T17)+N(U17)+N(V17))=3),"中","低")))</f>
        <v/>
      </c>
      <c r="X17" s="15" t="str">
        <f aca="false">IF(L17="中位60%",IF(W17="高",3,IF(W17="中",2,IF(W17="低",1,0)))+IF(M17="◎",1,0)+IF(N17="◎",1,0)+IF(O17="○",1,0)+IF(P17="○",1,0),"")</f>
        <v/>
      </c>
      <c r="Y17" s="20"/>
      <c r="Z17" s="18"/>
      <c r="AA17" s="20"/>
      <c r="AB17" s="20"/>
    </row>
    <row r="18" customFormat="false" ht="15" hidden="false" customHeight="false" outlineLevel="0" collapsed="false">
      <c r="A18" s="13" t="s">
        <v>108</v>
      </c>
      <c r="B18" s="14" t="s">
        <v>109</v>
      </c>
      <c r="C18" s="15" t="s">
        <v>61</v>
      </c>
      <c r="D18" s="15" t="n">
        <v>3</v>
      </c>
      <c r="E18" s="14" t="s">
        <v>75</v>
      </c>
      <c r="F18" s="15" t="s">
        <v>80</v>
      </c>
      <c r="G18" s="16" t="s">
        <v>110</v>
      </c>
      <c r="H18" s="17" t="n">
        <v>1</v>
      </c>
      <c r="I18" s="18"/>
      <c r="J18" s="15" t="n">
        <f aca="false">IF(AND(H18=1,N(I18)&gt;0),1,0)</f>
        <v>0</v>
      </c>
      <c r="K18" s="15" t="str">
        <f aca="false">IF(J18=1,SUMPRODUCT(($J$5:$J$312=1)*(N($I$5:$I$312)&gt;N(I18)))+1,"")</f>
        <v/>
      </c>
      <c r="L18" s="15" t="str">
        <f aca="false">IF(J18&lt;&gt;1,"",IF(K18&lt;=ROUND(SUM($J$5:$J$312)*0.2,0),"上位20%",IF(K18&lt;=ROUND(SUM($J$5:$J$312)*0.8,0),"中位60%","下位20%")))</f>
        <v/>
      </c>
      <c r="M18" s="15" t="str">
        <f aca="false">IF(F18="あり","◎","")</f>
        <v/>
      </c>
      <c r="N18" s="15" t="str">
        <f aca="false">IF(OR(LEFT(G18,1)="A",LEFT(G18,1)="B"),"◎","")</f>
        <v>◎</v>
      </c>
      <c r="O18" s="19"/>
      <c r="P18" s="19"/>
      <c r="Q18" s="19"/>
      <c r="R18" s="19"/>
      <c r="S18" s="19"/>
      <c r="T18" s="19"/>
      <c r="U18" s="19"/>
      <c r="V18" s="19"/>
      <c r="W18" s="15" t="str">
        <f aca="false">IF((N(Q18)+N(R18)+N(S18)+N(T18)+N(U18)+N(V18))=0,"",IF(AND((N(Q18)+N(R18)+N(T18))&gt;=2,(N(Q18)+N(R18)+N(S18)+N(T18)+N(U18)+N(V18))&gt;=4),"高",IF(AND((N(Q18)+N(R18)+N(T18))&gt;=1,(N(Q18)+N(R18)+N(S18)+N(T18)+N(U18)+N(V18))=3),"中","低")))</f>
        <v/>
      </c>
      <c r="X18" s="15" t="str">
        <f aca="false">IF(L18="中位60%",IF(W18="高",3,IF(W18="中",2,IF(W18="低",1,0)))+IF(M18="◎",1,0)+IF(N18="◎",1,0)+IF(O18="○",1,0)+IF(P18="○",1,0),"")</f>
        <v/>
      </c>
      <c r="Y18" s="20"/>
      <c r="Z18" s="18"/>
      <c r="AA18" s="20"/>
      <c r="AB18" s="20"/>
    </row>
    <row r="19" customFormat="false" ht="15" hidden="false" customHeight="false" outlineLevel="0" collapsed="false">
      <c r="A19" s="13" t="s">
        <v>111</v>
      </c>
      <c r="B19" s="14" t="s">
        <v>112</v>
      </c>
      <c r="C19" s="15" t="s">
        <v>61</v>
      </c>
      <c r="D19" s="15" t="n">
        <v>3</v>
      </c>
      <c r="E19" s="14" t="s">
        <v>94</v>
      </c>
      <c r="F19" s="15" t="s">
        <v>63</v>
      </c>
      <c r="G19" s="16" t="s">
        <v>110</v>
      </c>
      <c r="H19" s="17" t="n">
        <v>1</v>
      </c>
      <c r="I19" s="18"/>
      <c r="J19" s="15" t="n">
        <f aca="false">IF(AND(H19=1,N(I19)&gt;0),1,0)</f>
        <v>0</v>
      </c>
      <c r="K19" s="15" t="str">
        <f aca="false">IF(J19=1,SUMPRODUCT(($J$5:$J$312=1)*(N($I$5:$I$312)&gt;N(I19)))+1,"")</f>
        <v/>
      </c>
      <c r="L19" s="15" t="str">
        <f aca="false">IF(J19&lt;&gt;1,"",IF(K19&lt;=ROUND(SUM($J$5:$J$312)*0.2,0),"上位20%",IF(K19&lt;=ROUND(SUM($J$5:$J$312)*0.8,0),"中位60%","下位20%")))</f>
        <v/>
      </c>
      <c r="M19" s="15" t="str">
        <f aca="false">IF(F19="あり","◎","")</f>
        <v>◎</v>
      </c>
      <c r="N19" s="15" t="str">
        <f aca="false">IF(OR(LEFT(G19,1)="A",LEFT(G19,1)="B"),"◎","")</f>
        <v>◎</v>
      </c>
      <c r="O19" s="19"/>
      <c r="P19" s="19"/>
      <c r="Q19" s="19"/>
      <c r="R19" s="19"/>
      <c r="S19" s="19"/>
      <c r="T19" s="19"/>
      <c r="U19" s="19"/>
      <c r="V19" s="19"/>
      <c r="W19" s="15" t="str">
        <f aca="false">IF((N(Q19)+N(R19)+N(S19)+N(T19)+N(U19)+N(V19))=0,"",IF(AND((N(Q19)+N(R19)+N(T19))&gt;=2,(N(Q19)+N(R19)+N(S19)+N(T19)+N(U19)+N(V19))&gt;=4),"高",IF(AND((N(Q19)+N(R19)+N(T19))&gt;=1,(N(Q19)+N(R19)+N(S19)+N(T19)+N(U19)+N(V19))=3),"中","低")))</f>
        <v/>
      </c>
      <c r="X19" s="15" t="str">
        <f aca="false">IF(L19="中位60%",IF(W19="高",3,IF(W19="中",2,IF(W19="低",1,0)))+IF(M19="◎",1,0)+IF(N19="◎",1,0)+IF(O19="○",1,0)+IF(P19="○",1,0),"")</f>
        <v/>
      </c>
      <c r="Y19" s="20"/>
      <c r="Z19" s="18"/>
      <c r="AA19" s="20"/>
      <c r="AB19" s="20"/>
    </row>
    <row r="20" customFormat="false" ht="15" hidden="false" customHeight="false" outlineLevel="0" collapsed="false">
      <c r="A20" s="13" t="s">
        <v>113</v>
      </c>
      <c r="B20" s="14" t="s">
        <v>114</v>
      </c>
      <c r="C20" s="15" t="s">
        <v>61</v>
      </c>
      <c r="D20" s="15" t="n">
        <v>3</v>
      </c>
      <c r="E20" s="14" t="s">
        <v>79</v>
      </c>
      <c r="F20" s="15" t="s">
        <v>80</v>
      </c>
      <c r="G20" s="16" t="s">
        <v>110</v>
      </c>
      <c r="H20" s="17" t="n">
        <v>1</v>
      </c>
      <c r="I20" s="18"/>
      <c r="J20" s="15" t="n">
        <f aca="false">IF(AND(H20=1,N(I20)&gt;0),1,0)</f>
        <v>0</v>
      </c>
      <c r="K20" s="15" t="str">
        <f aca="false">IF(J20=1,SUMPRODUCT(($J$5:$J$312=1)*(N($I$5:$I$312)&gt;N(I20)))+1,"")</f>
        <v/>
      </c>
      <c r="L20" s="15" t="str">
        <f aca="false">IF(J20&lt;&gt;1,"",IF(K20&lt;=ROUND(SUM($J$5:$J$312)*0.2,0),"上位20%",IF(K20&lt;=ROUND(SUM($J$5:$J$312)*0.8,0),"中位60%","下位20%")))</f>
        <v/>
      </c>
      <c r="M20" s="15" t="str">
        <f aca="false">IF(F20="あり","◎","")</f>
        <v/>
      </c>
      <c r="N20" s="15" t="str">
        <f aca="false">IF(OR(LEFT(G20,1)="A",LEFT(G20,1)="B"),"◎","")</f>
        <v>◎</v>
      </c>
      <c r="O20" s="19"/>
      <c r="P20" s="19"/>
      <c r="Q20" s="19"/>
      <c r="R20" s="19"/>
      <c r="S20" s="19"/>
      <c r="T20" s="19"/>
      <c r="U20" s="19"/>
      <c r="V20" s="19"/>
      <c r="W20" s="15" t="str">
        <f aca="false">IF((N(Q20)+N(R20)+N(S20)+N(T20)+N(U20)+N(V20))=0,"",IF(AND((N(Q20)+N(R20)+N(T20))&gt;=2,(N(Q20)+N(R20)+N(S20)+N(T20)+N(U20)+N(V20))&gt;=4),"高",IF(AND((N(Q20)+N(R20)+N(T20))&gt;=1,(N(Q20)+N(R20)+N(S20)+N(T20)+N(U20)+N(V20))=3),"中","低")))</f>
        <v/>
      </c>
      <c r="X20" s="15" t="str">
        <f aca="false">IF(L20="中位60%",IF(W20="高",3,IF(W20="中",2,IF(W20="低",1,0)))+IF(M20="◎",1,0)+IF(N20="◎",1,0)+IF(O20="○",1,0)+IF(P20="○",1,0),"")</f>
        <v/>
      </c>
      <c r="Y20" s="20"/>
      <c r="Z20" s="18"/>
      <c r="AA20" s="20"/>
      <c r="AB20" s="20"/>
    </row>
    <row r="21" customFormat="false" ht="15" hidden="false" customHeight="false" outlineLevel="0" collapsed="false">
      <c r="A21" s="13" t="s">
        <v>115</v>
      </c>
      <c r="B21" s="14" t="s">
        <v>116</v>
      </c>
      <c r="C21" s="15" t="s">
        <v>61</v>
      </c>
      <c r="D21" s="15" t="n">
        <v>3</v>
      </c>
      <c r="E21" s="14" t="s">
        <v>117</v>
      </c>
      <c r="F21" s="15" t="s">
        <v>63</v>
      </c>
      <c r="G21" s="16" t="s">
        <v>88</v>
      </c>
      <c r="H21" s="17" t="n">
        <v>1</v>
      </c>
      <c r="I21" s="18"/>
      <c r="J21" s="15" t="n">
        <f aca="false">IF(AND(H21=1,N(I21)&gt;0),1,0)</f>
        <v>0</v>
      </c>
      <c r="K21" s="15" t="str">
        <f aca="false">IF(J21=1,SUMPRODUCT(($J$5:$J$312=1)*(N($I$5:$I$312)&gt;N(I21)))+1,"")</f>
        <v/>
      </c>
      <c r="L21" s="15" t="str">
        <f aca="false">IF(J21&lt;&gt;1,"",IF(K21&lt;=ROUND(SUM($J$5:$J$312)*0.2,0),"上位20%",IF(K21&lt;=ROUND(SUM($J$5:$J$312)*0.8,0),"中位60%","下位20%")))</f>
        <v/>
      </c>
      <c r="M21" s="15" t="str">
        <f aca="false">IF(F21="あり","◎","")</f>
        <v>◎</v>
      </c>
      <c r="N21" s="15" t="str">
        <f aca="false">IF(OR(LEFT(G21,1)="A",LEFT(G21,1)="B"),"◎","")</f>
        <v/>
      </c>
      <c r="O21" s="19"/>
      <c r="P21" s="19"/>
      <c r="Q21" s="19"/>
      <c r="R21" s="19"/>
      <c r="S21" s="19"/>
      <c r="T21" s="19"/>
      <c r="U21" s="19"/>
      <c r="V21" s="19"/>
      <c r="W21" s="15" t="str">
        <f aca="false">IF((N(Q21)+N(R21)+N(S21)+N(T21)+N(U21)+N(V21))=0,"",IF(AND((N(Q21)+N(R21)+N(T21))&gt;=2,(N(Q21)+N(R21)+N(S21)+N(T21)+N(U21)+N(V21))&gt;=4),"高",IF(AND((N(Q21)+N(R21)+N(T21))&gt;=1,(N(Q21)+N(R21)+N(S21)+N(T21)+N(U21)+N(V21))=3),"中","低")))</f>
        <v/>
      </c>
      <c r="X21" s="15" t="str">
        <f aca="false">IF(L21="中位60%",IF(W21="高",3,IF(W21="中",2,IF(W21="低",1,0)))+IF(M21="◎",1,0)+IF(N21="◎",1,0)+IF(O21="○",1,0)+IF(P21="○",1,0),"")</f>
        <v/>
      </c>
      <c r="Y21" s="20"/>
      <c r="Z21" s="18"/>
      <c r="AA21" s="20"/>
      <c r="AB21" s="20"/>
    </row>
    <row r="22" customFormat="false" ht="15" hidden="false" customHeight="false" outlineLevel="0" collapsed="false">
      <c r="A22" s="13" t="s">
        <v>118</v>
      </c>
      <c r="B22" s="14" t="s">
        <v>119</v>
      </c>
      <c r="C22" s="15" t="s">
        <v>61</v>
      </c>
      <c r="D22" s="15" t="n">
        <v>3</v>
      </c>
      <c r="E22" s="14" t="s">
        <v>101</v>
      </c>
      <c r="F22" s="15" t="s">
        <v>63</v>
      </c>
      <c r="G22" s="16" t="s">
        <v>88</v>
      </c>
      <c r="H22" s="17" t="n">
        <v>1</v>
      </c>
      <c r="I22" s="18"/>
      <c r="J22" s="15" t="n">
        <f aca="false">IF(AND(H22=1,N(I22)&gt;0),1,0)</f>
        <v>0</v>
      </c>
      <c r="K22" s="15" t="str">
        <f aca="false">IF(J22=1,SUMPRODUCT(($J$5:$J$312=1)*(N($I$5:$I$312)&gt;N(I22)))+1,"")</f>
        <v/>
      </c>
      <c r="L22" s="15" t="str">
        <f aca="false">IF(J22&lt;&gt;1,"",IF(K22&lt;=ROUND(SUM($J$5:$J$312)*0.2,0),"上位20%",IF(K22&lt;=ROUND(SUM($J$5:$J$312)*0.8,0),"中位60%","下位20%")))</f>
        <v/>
      </c>
      <c r="M22" s="15" t="str">
        <f aca="false">IF(F22="あり","◎","")</f>
        <v>◎</v>
      </c>
      <c r="N22" s="15" t="str">
        <f aca="false">IF(OR(LEFT(G22,1)="A",LEFT(G22,1)="B"),"◎","")</f>
        <v/>
      </c>
      <c r="O22" s="19"/>
      <c r="P22" s="19"/>
      <c r="Q22" s="19"/>
      <c r="R22" s="19"/>
      <c r="S22" s="19"/>
      <c r="T22" s="19"/>
      <c r="U22" s="19"/>
      <c r="V22" s="19"/>
      <c r="W22" s="15" t="str">
        <f aca="false">IF((N(Q22)+N(R22)+N(S22)+N(T22)+N(U22)+N(V22))=0,"",IF(AND((N(Q22)+N(R22)+N(T22))&gt;=2,(N(Q22)+N(R22)+N(S22)+N(T22)+N(U22)+N(V22))&gt;=4),"高",IF(AND((N(Q22)+N(R22)+N(T22))&gt;=1,(N(Q22)+N(R22)+N(S22)+N(T22)+N(U22)+N(V22))=3),"中","低")))</f>
        <v/>
      </c>
      <c r="X22" s="15" t="str">
        <f aca="false">IF(L22="中位60%",IF(W22="高",3,IF(W22="中",2,IF(W22="低",1,0)))+IF(M22="◎",1,0)+IF(N22="◎",1,0)+IF(O22="○",1,0)+IF(P22="○",1,0),"")</f>
        <v/>
      </c>
      <c r="Y22" s="20"/>
      <c r="Z22" s="18"/>
      <c r="AA22" s="20"/>
      <c r="AB22" s="20"/>
    </row>
    <row r="23" customFormat="false" ht="15" hidden="false" customHeight="false" outlineLevel="0" collapsed="false">
      <c r="A23" s="13" t="s">
        <v>120</v>
      </c>
      <c r="B23" s="14" t="s">
        <v>121</v>
      </c>
      <c r="C23" s="15" t="s">
        <v>61</v>
      </c>
      <c r="D23" s="15" t="n">
        <v>3</v>
      </c>
      <c r="E23" s="14" t="s">
        <v>117</v>
      </c>
      <c r="F23" s="15" t="s">
        <v>63</v>
      </c>
      <c r="G23" s="16" t="s">
        <v>88</v>
      </c>
      <c r="H23" s="17" t="n">
        <v>1</v>
      </c>
      <c r="I23" s="18"/>
      <c r="J23" s="15" t="n">
        <f aca="false">IF(AND(H23=1,N(I23)&gt;0),1,0)</f>
        <v>0</v>
      </c>
      <c r="K23" s="15" t="str">
        <f aca="false">IF(J23=1,SUMPRODUCT(($J$5:$J$312=1)*(N($I$5:$I$312)&gt;N(I23)))+1,"")</f>
        <v/>
      </c>
      <c r="L23" s="15" t="str">
        <f aca="false">IF(J23&lt;&gt;1,"",IF(K23&lt;=ROUND(SUM($J$5:$J$312)*0.2,0),"上位20%",IF(K23&lt;=ROUND(SUM($J$5:$J$312)*0.8,0),"中位60%","下位20%")))</f>
        <v/>
      </c>
      <c r="M23" s="15" t="str">
        <f aca="false">IF(F23="あり","◎","")</f>
        <v>◎</v>
      </c>
      <c r="N23" s="15" t="str">
        <f aca="false">IF(OR(LEFT(G23,1)="A",LEFT(G23,1)="B"),"◎","")</f>
        <v/>
      </c>
      <c r="O23" s="19"/>
      <c r="P23" s="19"/>
      <c r="Q23" s="19"/>
      <c r="R23" s="19"/>
      <c r="S23" s="19"/>
      <c r="T23" s="19"/>
      <c r="U23" s="19"/>
      <c r="V23" s="19"/>
      <c r="W23" s="15" t="str">
        <f aca="false">IF((N(Q23)+N(R23)+N(S23)+N(T23)+N(U23)+N(V23))=0,"",IF(AND((N(Q23)+N(R23)+N(T23))&gt;=2,(N(Q23)+N(R23)+N(S23)+N(T23)+N(U23)+N(V23))&gt;=4),"高",IF(AND((N(Q23)+N(R23)+N(T23))&gt;=1,(N(Q23)+N(R23)+N(S23)+N(T23)+N(U23)+N(V23))=3),"中","低")))</f>
        <v/>
      </c>
      <c r="X23" s="15" t="str">
        <f aca="false">IF(L23="中位60%",IF(W23="高",3,IF(W23="中",2,IF(W23="低",1,0)))+IF(M23="◎",1,0)+IF(N23="◎",1,0)+IF(O23="○",1,0)+IF(P23="○",1,0),"")</f>
        <v/>
      </c>
      <c r="Y23" s="20"/>
      <c r="Z23" s="18"/>
      <c r="AA23" s="20"/>
      <c r="AB23" s="20"/>
    </row>
    <row r="24" customFormat="false" ht="15" hidden="false" customHeight="false" outlineLevel="0" collapsed="false">
      <c r="A24" s="13" t="s">
        <v>122</v>
      </c>
      <c r="B24" s="14" t="s">
        <v>123</v>
      </c>
      <c r="C24" s="15" t="s">
        <v>61</v>
      </c>
      <c r="D24" s="15" t="n">
        <v>3</v>
      </c>
      <c r="E24" s="14" t="s">
        <v>101</v>
      </c>
      <c r="F24" s="15" t="s">
        <v>63</v>
      </c>
      <c r="G24" s="16" t="s">
        <v>64</v>
      </c>
      <c r="H24" s="17" t="n">
        <v>1</v>
      </c>
      <c r="I24" s="18"/>
      <c r="J24" s="15" t="n">
        <f aca="false">IF(AND(H24=1,N(I24)&gt;0),1,0)</f>
        <v>0</v>
      </c>
      <c r="K24" s="15" t="str">
        <f aca="false">IF(J24=1,SUMPRODUCT(($J$5:$J$312=1)*(N($I$5:$I$312)&gt;N(I24)))+1,"")</f>
        <v/>
      </c>
      <c r="L24" s="15" t="str">
        <f aca="false">IF(J24&lt;&gt;1,"",IF(K24&lt;=ROUND(SUM($J$5:$J$312)*0.2,0),"上位20%",IF(K24&lt;=ROUND(SUM($J$5:$J$312)*0.8,0),"中位60%","下位20%")))</f>
        <v/>
      </c>
      <c r="M24" s="15" t="str">
        <f aca="false">IF(F24="あり","◎","")</f>
        <v>◎</v>
      </c>
      <c r="N24" s="15" t="str">
        <f aca="false">IF(OR(LEFT(G24,1)="A",LEFT(G24,1)="B"),"◎","")</f>
        <v/>
      </c>
      <c r="O24" s="19"/>
      <c r="P24" s="19"/>
      <c r="Q24" s="19"/>
      <c r="R24" s="19"/>
      <c r="S24" s="19"/>
      <c r="T24" s="19"/>
      <c r="U24" s="19"/>
      <c r="V24" s="19"/>
      <c r="W24" s="15" t="str">
        <f aca="false">IF((N(Q24)+N(R24)+N(S24)+N(T24)+N(U24)+N(V24))=0,"",IF(AND((N(Q24)+N(R24)+N(T24))&gt;=2,(N(Q24)+N(R24)+N(S24)+N(T24)+N(U24)+N(V24))&gt;=4),"高",IF(AND((N(Q24)+N(R24)+N(T24))&gt;=1,(N(Q24)+N(R24)+N(S24)+N(T24)+N(U24)+N(V24))=3),"中","低")))</f>
        <v/>
      </c>
      <c r="X24" s="15" t="str">
        <f aca="false">IF(L24="中位60%",IF(W24="高",3,IF(W24="中",2,IF(W24="低",1,0)))+IF(M24="◎",1,0)+IF(N24="◎",1,0)+IF(O24="○",1,0)+IF(P24="○",1,0),"")</f>
        <v/>
      </c>
      <c r="Y24" s="20"/>
      <c r="Z24" s="18"/>
      <c r="AA24" s="20"/>
      <c r="AB24" s="20"/>
    </row>
    <row r="25" customFormat="false" ht="15" hidden="false" customHeight="false" outlineLevel="0" collapsed="false">
      <c r="A25" s="13" t="s">
        <v>124</v>
      </c>
      <c r="B25" s="14" t="s">
        <v>125</v>
      </c>
      <c r="C25" s="15" t="s">
        <v>61</v>
      </c>
      <c r="D25" s="15" t="n">
        <v>3</v>
      </c>
      <c r="E25" s="14" t="s">
        <v>62</v>
      </c>
      <c r="F25" s="15" t="s">
        <v>80</v>
      </c>
      <c r="G25" s="16" t="s">
        <v>88</v>
      </c>
      <c r="H25" s="17" t="n">
        <v>1</v>
      </c>
      <c r="I25" s="18"/>
      <c r="J25" s="15" t="n">
        <f aca="false">IF(AND(H25=1,N(I25)&gt;0),1,0)</f>
        <v>0</v>
      </c>
      <c r="K25" s="15" t="str">
        <f aca="false">IF(J25=1,SUMPRODUCT(($J$5:$J$312=1)*(N($I$5:$I$312)&gt;N(I25)))+1,"")</f>
        <v/>
      </c>
      <c r="L25" s="15" t="str">
        <f aca="false">IF(J25&lt;&gt;1,"",IF(K25&lt;=ROUND(SUM($J$5:$J$312)*0.2,0),"上位20%",IF(K25&lt;=ROUND(SUM($J$5:$J$312)*0.8,0),"中位60%","下位20%")))</f>
        <v/>
      </c>
      <c r="M25" s="15" t="str">
        <f aca="false">IF(F25="あり","◎","")</f>
        <v/>
      </c>
      <c r="N25" s="15" t="str">
        <f aca="false">IF(OR(LEFT(G25,1)="A",LEFT(G25,1)="B"),"◎","")</f>
        <v/>
      </c>
      <c r="O25" s="19"/>
      <c r="P25" s="19"/>
      <c r="Q25" s="19"/>
      <c r="R25" s="19"/>
      <c r="S25" s="19"/>
      <c r="T25" s="19"/>
      <c r="U25" s="19"/>
      <c r="V25" s="19"/>
      <c r="W25" s="15" t="str">
        <f aca="false">IF((N(Q25)+N(R25)+N(S25)+N(T25)+N(U25)+N(V25))=0,"",IF(AND((N(Q25)+N(R25)+N(T25))&gt;=2,(N(Q25)+N(R25)+N(S25)+N(T25)+N(U25)+N(V25))&gt;=4),"高",IF(AND((N(Q25)+N(R25)+N(T25))&gt;=1,(N(Q25)+N(R25)+N(S25)+N(T25)+N(U25)+N(V25))=3),"中","低")))</f>
        <v/>
      </c>
      <c r="X25" s="15" t="str">
        <f aca="false">IF(L25="中位60%",IF(W25="高",3,IF(W25="中",2,IF(W25="低",1,0)))+IF(M25="◎",1,0)+IF(N25="◎",1,0)+IF(O25="○",1,0)+IF(P25="○",1,0),"")</f>
        <v/>
      </c>
      <c r="Y25" s="20"/>
      <c r="Z25" s="18"/>
      <c r="AA25" s="20"/>
      <c r="AB25" s="20"/>
    </row>
    <row r="26" customFormat="false" ht="15" hidden="false" customHeight="false" outlineLevel="0" collapsed="false">
      <c r="A26" s="13" t="s">
        <v>126</v>
      </c>
      <c r="B26" s="14" t="s">
        <v>127</v>
      </c>
      <c r="C26" s="15" t="s">
        <v>61</v>
      </c>
      <c r="D26" s="15" t="n">
        <v>3</v>
      </c>
      <c r="E26" s="14" t="s">
        <v>62</v>
      </c>
      <c r="F26" s="15" t="s">
        <v>80</v>
      </c>
      <c r="G26" s="16" t="s">
        <v>88</v>
      </c>
      <c r="H26" s="17" t="n">
        <v>1</v>
      </c>
      <c r="I26" s="18"/>
      <c r="J26" s="15" t="n">
        <f aca="false">IF(AND(H26=1,N(I26)&gt;0),1,0)</f>
        <v>0</v>
      </c>
      <c r="K26" s="15" t="str">
        <f aca="false">IF(J26=1,SUMPRODUCT(($J$5:$J$312=1)*(N($I$5:$I$312)&gt;N(I26)))+1,"")</f>
        <v/>
      </c>
      <c r="L26" s="15" t="str">
        <f aca="false">IF(J26&lt;&gt;1,"",IF(K26&lt;=ROUND(SUM($J$5:$J$312)*0.2,0),"上位20%",IF(K26&lt;=ROUND(SUM($J$5:$J$312)*0.8,0),"中位60%","下位20%")))</f>
        <v/>
      </c>
      <c r="M26" s="15" t="str">
        <f aca="false">IF(F26="あり","◎","")</f>
        <v/>
      </c>
      <c r="N26" s="15" t="str">
        <f aca="false">IF(OR(LEFT(G26,1)="A",LEFT(G26,1)="B"),"◎","")</f>
        <v/>
      </c>
      <c r="O26" s="19"/>
      <c r="P26" s="19"/>
      <c r="Q26" s="19"/>
      <c r="R26" s="19"/>
      <c r="S26" s="19"/>
      <c r="T26" s="19"/>
      <c r="U26" s="19"/>
      <c r="V26" s="19"/>
      <c r="W26" s="15" t="str">
        <f aca="false">IF((N(Q26)+N(R26)+N(S26)+N(T26)+N(U26)+N(V26))=0,"",IF(AND((N(Q26)+N(R26)+N(T26))&gt;=2,(N(Q26)+N(R26)+N(S26)+N(T26)+N(U26)+N(V26))&gt;=4),"高",IF(AND((N(Q26)+N(R26)+N(T26))&gt;=1,(N(Q26)+N(R26)+N(S26)+N(T26)+N(U26)+N(V26))=3),"中","低")))</f>
        <v/>
      </c>
      <c r="X26" s="15" t="str">
        <f aca="false">IF(L26="中位60%",IF(W26="高",3,IF(W26="中",2,IF(W26="低",1,0)))+IF(M26="◎",1,0)+IF(N26="◎",1,0)+IF(O26="○",1,0)+IF(P26="○",1,0),"")</f>
        <v/>
      </c>
      <c r="Y26" s="20"/>
      <c r="Z26" s="18"/>
      <c r="AA26" s="20"/>
      <c r="AB26" s="20"/>
    </row>
    <row r="27" customFormat="false" ht="15" hidden="false" customHeight="false" outlineLevel="0" collapsed="false">
      <c r="A27" s="13" t="s">
        <v>128</v>
      </c>
      <c r="B27" s="14" t="s">
        <v>129</v>
      </c>
      <c r="C27" s="15" t="s">
        <v>61</v>
      </c>
      <c r="D27" s="15" t="n">
        <v>3</v>
      </c>
      <c r="E27" s="14" t="s">
        <v>62</v>
      </c>
      <c r="F27" s="15" t="s">
        <v>63</v>
      </c>
      <c r="G27" s="16" t="s">
        <v>88</v>
      </c>
      <c r="H27" s="17" t="n">
        <v>1</v>
      </c>
      <c r="I27" s="18"/>
      <c r="J27" s="15" t="n">
        <f aca="false">IF(AND(H27=1,N(I27)&gt;0),1,0)</f>
        <v>0</v>
      </c>
      <c r="K27" s="15" t="str">
        <f aca="false">IF(J27=1,SUMPRODUCT(($J$5:$J$312=1)*(N($I$5:$I$312)&gt;N(I27)))+1,"")</f>
        <v/>
      </c>
      <c r="L27" s="15" t="str">
        <f aca="false">IF(J27&lt;&gt;1,"",IF(K27&lt;=ROUND(SUM($J$5:$J$312)*0.2,0),"上位20%",IF(K27&lt;=ROUND(SUM($J$5:$J$312)*0.8,0),"中位60%","下位20%")))</f>
        <v/>
      </c>
      <c r="M27" s="15" t="str">
        <f aca="false">IF(F27="あり","◎","")</f>
        <v>◎</v>
      </c>
      <c r="N27" s="15" t="str">
        <f aca="false">IF(OR(LEFT(G27,1)="A",LEFT(G27,1)="B"),"◎","")</f>
        <v/>
      </c>
      <c r="O27" s="19"/>
      <c r="P27" s="19"/>
      <c r="Q27" s="19"/>
      <c r="R27" s="19"/>
      <c r="S27" s="19"/>
      <c r="T27" s="19"/>
      <c r="U27" s="19"/>
      <c r="V27" s="19"/>
      <c r="W27" s="15" t="str">
        <f aca="false">IF((N(Q27)+N(R27)+N(S27)+N(T27)+N(U27)+N(V27))=0,"",IF(AND((N(Q27)+N(R27)+N(T27))&gt;=2,(N(Q27)+N(R27)+N(S27)+N(T27)+N(U27)+N(V27))&gt;=4),"高",IF(AND((N(Q27)+N(R27)+N(T27))&gt;=1,(N(Q27)+N(R27)+N(S27)+N(T27)+N(U27)+N(V27))=3),"中","低")))</f>
        <v/>
      </c>
      <c r="X27" s="15" t="str">
        <f aca="false">IF(L27="中位60%",IF(W27="高",3,IF(W27="中",2,IF(W27="低",1,0)))+IF(M27="◎",1,0)+IF(N27="◎",1,0)+IF(O27="○",1,0)+IF(P27="○",1,0),"")</f>
        <v/>
      </c>
      <c r="Y27" s="20"/>
      <c r="Z27" s="18"/>
      <c r="AA27" s="20"/>
      <c r="AB27" s="20"/>
    </row>
    <row r="28" customFormat="false" ht="15" hidden="false" customHeight="false" outlineLevel="0" collapsed="false">
      <c r="A28" s="13" t="s">
        <v>130</v>
      </c>
      <c r="B28" s="14" t="s">
        <v>131</v>
      </c>
      <c r="C28" s="15" t="s">
        <v>61</v>
      </c>
      <c r="D28" s="15" t="n">
        <v>3</v>
      </c>
      <c r="E28" s="14" t="s">
        <v>101</v>
      </c>
      <c r="F28" s="15" t="s">
        <v>63</v>
      </c>
      <c r="G28" s="16" t="s">
        <v>64</v>
      </c>
      <c r="H28" s="17" t="n">
        <v>1</v>
      </c>
      <c r="I28" s="18"/>
      <c r="J28" s="15" t="n">
        <f aca="false">IF(AND(H28=1,N(I28)&gt;0),1,0)</f>
        <v>0</v>
      </c>
      <c r="K28" s="15" t="str">
        <f aca="false">IF(J28=1,SUMPRODUCT(($J$5:$J$312=1)*(N($I$5:$I$312)&gt;N(I28)))+1,"")</f>
        <v/>
      </c>
      <c r="L28" s="15" t="str">
        <f aca="false">IF(J28&lt;&gt;1,"",IF(K28&lt;=ROUND(SUM($J$5:$J$312)*0.2,0),"上位20%",IF(K28&lt;=ROUND(SUM($J$5:$J$312)*0.8,0),"中位60%","下位20%")))</f>
        <v/>
      </c>
      <c r="M28" s="15" t="str">
        <f aca="false">IF(F28="あり","◎","")</f>
        <v>◎</v>
      </c>
      <c r="N28" s="15" t="str">
        <f aca="false">IF(OR(LEFT(G28,1)="A",LEFT(G28,1)="B"),"◎","")</f>
        <v/>
      </c>
      <c r="O28" s="19"/>
      <c r="P28" s="19"/>
      <c r="Q28" s="19"/>
      <c r="R28" s="19"/>
      <c r="S28" s="19"/>
      <c r="T28" s="19"/>
      <c r="U28" s="19"/>
      <c r="V28" s="19"/>
      <c r="W28" s="15" t="str">
        <f aca="false">IF((N(Q28)+N(R28)+N(S28)+N(T28)+N(U28)+N(V28))=0,"",IF(AND((N(Q28)+N(R28)+N(T28))&gt;=2,(N(Q28)+N(R28)+N(S28)+N(T28)+N(U28)+N(V28))&gt;=4),"高",IF(AND((N(Q28)+N(R28)+N(T28))&gt;=1,(N(Q28)+N(R28)+N(S28)+N(T28)+N(U28)+N(V28))=3),"中","低")))</f>
        <v/>
      </c>
      <c r="X28" s="15" t="str">
        <f aca="false">IF(L28="中位60%",IF(W28="高",3,IF(W28="中",2,IF(W28="低",1,0)))+IF(M28="◎",1,0)+IF(N28="◎",1,0)+IF(O28="○",1,0)+IF(P28="○",1,0),"")</f>
        <v/>
      </c>
      <c r="Y28" s="20"/>
      <c r="Z28" s="18"/>
      <c r="AA28" s="20"/>
      <c r="AB28" s="20"/>
    </row>
    <row r="29" customFormat="false" ht="15" hidden="false" customHeight="false" outlineLevel="0" collapsed="false">
      <c r="A29" s="13" t="s">
        <v>132</v>
      </c>
      <c r="B29" s="14" t="s">
        <v>133</v>
      </c>
      <c r="C29" s="15" t="s">
        <v>61</v>
      </c>
      <c r="D29" s="15" t="n">
        <v>3</v>
      </c>
      <c r="E29" s="14" t="s">
        <v>79</v>
      </c>
      <c r="F29" s="15" t="s">
        <v>63</v>
      </c>
      <c r="G29" s="16" t="s">
        <v>110</v>
      </c>
      <c r="H29" s="17" t="n">
        <v>1</v>
      </c>
      <c r="I29" s="18"/>
      <c r="J29" s="15" t="n">
        <f aca="false">IF(AND(H29=1,N(I29)&gt;0),1,0)</f>
        <v>0</v>
      </c>
      <c r="K29" s="15" t="str">
        <f aca="false">IF(J29=1,SUMPRODUCT(($J$5:$J$312=1)*(N($I$5:$I$312)&gt;N(I29)))+1,"")</f>
        <v/>
      </c>
      <c r="L29" s="15" t="str">
        <f aca="false">IF(J29&lt;&gt;1,"",IF(K29&lt;=ROUND(SUM($J$5:$J$312)*0.2,0),"上位20%",IF(K29&lt;=ROUND(SUM($J$5:$J$312)*0.8,0),"中位60%","下位20%")))</f>
        <v/>
      </c>
      <c r="M29" s="15" t="str">
        <f aca="false">IF(F29="あり","◎","")</f>
        <v>◎</v>
      </c>
      <c r="N29" s="15" t="str">
        <f aca="false">IF(OR(LEFT(G29,1)="A",LEFT(G29,1)="B"),"◎","")</f>
        <v>◎</v>
      </c>
      <c r="O29" s="19"/>
      <c r="P29" s="19"/>
      <c r="Q29" s="19"/>
      <c r="R29" s="19"/>
      <c r="S29" s="19"/>
      <c r="T29" s="19"/>
      <c r="U29" s="19"/>
      <c r="V29" s="19"/>
      <c r="W29" s="15" t="str">
        <f aca="false">IF((N(Q29)+N(R29)+N(S29)+N(T29)+N(U29)+N(V29))=0,"",IF(AND((N(Q29)+N(R29)+N(T29))&gt;=2,(N(Q29)+N(R29)+N(S29)+N(T29)+N(U29)+N(V29))&gt;=4),"高",IF(AND((N(Q29)+N(R29)+N(T29))&gt;=1,(N(Q29)+N(R29)+N(S29)+N(T29)+N(U29)+N(V29))=3),"中","低")))</f>
        <v/>
      </c>
      <c r="X29" s="15" t="str">
        <f aca="false">IF(L29="中位60%",IF(W29="高",3,IF(W29="中",2,IF(W29="低",1,0)))+IF(M29="◎",1,0)+IF(N29="◎",1,0)+IF(O29="○",1,0)+IF(P29="○",1,0),"")</f>
        <v/>
      </c>
      <c r="Y29" s="20"/>
      <c r="Z29" s="18"/>
      <c r="AA29" s="20"/>
      <c r="AB29" s="20"/>
    </row>
    <row r="30" customFormat="false" ht="15" hidden="false" customHeight="false" outlineLevel="0" collapsed="false">
      <c r="A30" s="13" t="s">
        <v>134</v>
      </c>
      <c r="B30" s="14" t="s">
        <v>135</v>
      </c>
      <c r="C30" s="15" t="s">
        <v>61</v>
      </c>
      <c r="D30" s="15" t="n">
        <v>3</v>
      </c>
      <c r="E30" s="14" t="s">
        <v>91</v>
      </c>
      <c r="F30" s="15" t="s">
        <v>63</v>
      </c>
      <c r="G30" s="16" t="s">
        <v>64</v>
      </c>
      <c r="H30" s="17" t="n">
        <v>1</v>
      </c>
      <c r="I30" s="18"/>
      <c r="J30" s="15" t="n">
        <f aca="false">IF(AND(H30=1,N(I30)&gt;0),1,0)</f>
        <v>0</v>
      </c>
      <c r="K30" s="15" t="str">
        <f aca="false">IF(J30=1,SUMPRODUCT(($J$5:$J$312=1)*(N($I$5:$I$312)&gt;N(I30)))+1,"")</f>
        <v/>
      </c>
      <c r="L30" s="15" t="str">
        <f aca="false">IF(J30&lt;&gt;1,"",IF(K30&lt;=ROUND(SUM($J$5:$J$312)*0.2,0),"上位20%",IF(K30&lt;=ROUND(SUM($J$5:$J$312)*0.8,0),"中位60%","下位20%")))</f>
        <v/>
      </c>
      <c r="M30" s="15" t="str">
        <f aca="false">IF(F30="あり","◎","")</f>
        <v>◎</v>
      </c>
      <c r="N30" s="15" t="str">
        <f aca="false">IF(OR(LEFT(G30,1)="A",LEFT(G30,1)="B"),"◎","")</f>
        <v/>
      </c>
      <c r="O30" s="19"/>
      <c r="P30" s="19"/>
      <c r="Q30" s="19"/>
      <c r="R30" s="19"/>
      <c r="S30" s="19"/>
      <c r="T30" s="19"/>
      <c r="U30" s="19"/>
      <c r="V30" s="19"/>
      <c r="W30" s="15" t="str">
        <f aca="false">IF((N(Q30)+N(R30)+N(S30)+N(T30)+N(U30)+N(V30))=0,"",IF(AND((N(Q30)+N(R30)+N(T30))&gt;=2,(N(Q30)+N(R30)+N(S30)+N(T30)+N(U30)+N(V30))&gt;=4),"高",IF(AND((N(Q30)+N(R30)+N(T30))&gt;=1,(N(Q30)+N(R30)+N(S30)+N(T30)+N(U30)+N(V30))=3),"中","低")))</f>
        <v/>
      </c>
      <c r="X30" s="15" t="str">
        <f aca="false">IF(L30="中位60%",IF(W30="高",3,IF(W30="中",2,IF(W30="低",1,0)))+IF(M30="◎",1,0)+IF(N30="◎",1,0)+IF(O30="○",1,0)+IF(P30="○",1,0),"")</f>
        <v/>
      </c>
      <c r="Y30" s="20"/>
      <c r="Z30" s="18"/>
      <c r="AA30" s="20"/>
      <c r="AB30" s="20"/>
    </row>
    <row r="31" customFormat="false" ht="15" hidden="false" customHeight="false" outlineLevel="0" collapsed="false">
      <c r="A31" s="13" t="s">
        <v>136</v>
      </c>
      <c r="B31" s="14" t="s">
        <v>137</v>
      </c>
      <c r="C31" s="15" t="s">
        <v>61</v>
      </c>
      <c r="D31" s="15" t="n">
        <v>9</v>
      </c>
      <c r="E31" s="14" t="s">
        <v>101</v>
      </c>
      <c r="F31" s="15" t="s">
        <v>80</v>
      </c>
      <c r="G31" s="16" t="s">
        <v>110</v>
      </c>
      <c r="H31" s="17" t="n">
        <v>1</v>
      </c>
      <c r="I31" s="18"/>
      <c r="J31" s="15" t="n">
        <f aca="false">IF(AND(H31=1,N(I31)&gt;0),1,0)</f>
        <v>0</v>
      </c>
      <c r="K31" s="15" t="str">
        <f aca="false">IF(J31=1,SUMPRODUCT(($J$5:$J$312=1)*(N($I$5:$I$312)&gt;N(I31)))+1,"")</f>
        <v/>
      </c>
      <c r="L31" s="15" t="str">
        <f aca="false">IF(J31&lt;&gt;1,"",IF(K31&lt;=ROUND(SUM($J$5:$J$312)*0.2,0),"上位20%",IF(K31&lt;=ROUND(SUM($J$5:$J$312)*0.8,0),"中位60%","下位20%")))</f>
        <v/>
      </c>
      <c r="M31" s="15" t="str">
        <f aca="false">IF(F31="あり","◎","")</f>
        <v/>
      </c>
      <c r="N31" s="15" t="str">
        <f aca="false">IF(OR(LEFT(G31,1)="A",LEFT(G31,1)="B"),"◎","")</f>
        <v>◎</v>
      </c>
      <c r="O31" s="19"/>
      <c r="P31" s="19"/>
      <c r="Q31" s="19"/>
      <c r="R31" s="19"/>
      <c r="S31" s="19"/>
      <c r="T31" s="19"/>
      <c r="U31" s="19"/>
      <c r="V31" s="19"/>
      <c r="W31" s="15" t="str">
        <f aca="false">IF((N(Q31)+N(R31)+N(S31)+N(T31)+N(U31)+N(V31))=0,"",IF(AND((N(Q31)+N(R31)+N(T31))&gt;=2,(N(Q31)+N(R31)+N(S31)+N(T31)+N(U31)+N(V31))&gt;=4),"高",IF(AND((N(Q31)+N(R31)+N(T31))&gt;=1,(N(Q31)+N(R31)+N(S31)+N(T31)+N(U31)+N(V31))=3),"中","低")))</f>
        <v/>
      </c>
      <c r="X31" s="15" t="str">
        <f aca="false">IF(L31="中位60%",IF(W31="高",3,IF(W31="中",2,IF(W31="低",1,0)))+IF(M31="◎",1,0)+IF(N31="◎",1,0)+IF(O31="○",1,0)+IF(P31="○",1,0),"")</f>
        <v/>
      </c>
      <c r="Y31" s="20"/>
      <c r="Z31" s="18"/>
      <c r="AA31" s="20"/>
      <c r="AB31" s="20"/>
    </row>
    <row r="32" customFormat="false" ht="15" hidden="false" customHeight="false" outlineLevel="0" collapsed="false">
      <c r="A32" s="13" t="s">
        <v>138</v>
      </c>
      <c r="B32" s="14" t="s">
        <v>139</v>
      </c>
      <c r="C32" s="15" t="s">
        <v>61</v>
      </c>
      <c r="D32" s="15" t="n">
        <v>3</v>
      </c>
      <c r="E32" s="14" t="s">
        <v>91</v>
      </c>
      <c r="F32" s="15" t="s">
        <v>63</v>
      </c>
      <c r="G32" s="14"/>
      <c r="H32" s="17" t="n">
        <v>1</v>
      </c>
      <c r="I32" s="18"/>
      <c r="J32" s="15" t="n">
        <f aca="false">IF(AND(H32=1,N(I32)&gt;0),1,0)</f>
        <v>0</v>
      </c>
      <c r="K32" s="15" t="str">
        <f aca="false">IF(J32=1,SUMPRODUCT(($J$5:$J$312=1)*(N($I$5:$I$312)&gt;N(I32)))+1,"")</f>
        <v/>
      </c>
      <c r="L32" s="15" t="str">
        <f aca="false">IF(J32&lt;&gt;1,"",IF(K32&lt;=ROUND(SUM($J$5:$J$312)*0.2,0),"上位20%",IF(K32&lt;=ROUND(SUM($J$5:$J$312)*0.8,0),"中位60%","下位20%")))</f>
        <v/>
      </c>
      <c r="M32" s="15" t="str">
        <f aca="false">IF(F32="あり","◎","")</f>
        <v>◎</v>
      </c>
      <c r="N32" s="15" t="str">
        <f aca="false">IF(OR(LEFT(G32,1)="A",LEFT(G32,1)="B"),"◎","")</f>
        <v/>
      </c>
      <c r="O32" s="19"/>
      <c r="P32" s="19"/>
      <c r="Q32" s="19"/>
      <c r="R32" s="19"/>
      <c r="S32" s="19"/>
      <c r="T32" s="19"/>
      <c r="U32" s="19"/>
      <c r="V32" s="19"/>
      <c r="W32" s="15" t="str">
        <f aca="false">IF((N(Q32)+N(R32)+N(S32)+N(T32)+N(U32)+N(V32))=0,"",IF(AND((N(Q32)+N(R32)+N(T32))&gt;=2,(N(Q32)+N(R32)+N(S32)+N(T32)+N(U32)+N(V32))&gt;=4),"高",IF(AND((N(Q32)+N(R32)+N(T32))&gt;=1,(N(Q32)+N(R32)+N(S32)+N(T32)+N(U32)+N(V32))=3),"中","低")))</f>
        <v/>
      </c>
      <c r="X32" s="15" t="str">
        <f aca="false">IF(L32="中位60%",IF(W32="高",3,IF(W32="中",2,IF(W32="低",1,0)))+IF(M32="◎",1,0)+IF(N32="◎",1,0)+IF(O32="○",1,0)+IF(P32="○",1,0),"")</f>
        <v/>
      </c>
      <c r="Y32" s="20"/>
      <c r="Z32" s="18"/>
      <c r="AA32" s="20"/>
      <c r="AB32" s="20"/>
    </row>
    <row r="33" customFormat="false" ht="15" hidden="false" customHeight="false" outlineLevel="0" collapsed="false">
      <c r="A33" s="13" t="s">
        <v>140</v>
      </c>
      <c r="B33" s="14" t="s">
        <v>141</v>
      </c>
      <c r="C33" s="15" t="s">
        <v>61</v>
      </c>
      <c r="D33" s="15" t="n">
        <v>3</v>
      </c>
      <c r="E33" s="14" t="s">
        <v>83</v>
      </c>
      <c r="F33" s="15" t="s">
        <v>63</v>
      </c>
      <c r="G33" s="16" t="s">
        <v>64</v>
      </c>
      <c r="H33" s="17" t="n">
        <v>1</v>
      </c>
      <c r="I33" s="18"/>
      <c r="J33" s="15" t="n">
        <f aca="false">IF(AND(H33=1,N(I33)&gt;0),1,0)</f>
        <v>0</v>
      </c>
      <c r="K33" s="15" t="str">
        <f aca="false">IF(J33=1,SUMPRODUCT(($J$5:$J$312=1)*(N($I$5:$I$312)&gt;N(I33)))+1,"")</f>
        <v/>
      </c>
      <c r="L33" s="15" t="str">
        <f aca="false">IF(J33&lt;&gt;1,"",IF(K33&lt;=ROUND(SUM($J$5:$J$312)*0.2,0),"上位20%",IF(K33&lt;=ROUND(SUM($J$5:$J$312)*0.8,0),"中位60%","下位20%")))</f>
        <v/>
      </c>
      <c r="M33" s="15" t="str">
        <f aca="false">IF(F33="あり","◎","")</f>
        <v>◎</v>
      </c>
      <c r="N33" s="15" t="str">
        <f aca="false">IF(OR(LEFT(G33,1)="A",LEFT(G33,1)="B"),"◎","")</f>
        <v/>
      </c>
      <c r="O33" s="19"/>
      <c r="P33" s="19"/>
      <c r="Q33" s="19"/>
      <c r="R33" s="19"/>
      <c r="S33" s="19"/>
      <c r="T33" s="19"/>
      <c r="U33" s="19"/>
      <c r="V33" s="19"/>
      <c r="W33" s="15" t="str">
        <f aca="false">IF((N(Q33)+N(R33)+N(S33)+N(T33)+N(U33)+N(V33))=0,"",IF(AND((N(Q33)+N(R33)+N(T33))&gt;=2,(N(Q33)+N(R33)+N(S33)+N(T33)+N(U33)+N(V33))&gt;=4),"高",IF(AND((N(Q33)+N(R33)+N(T33))&gt;=1,(N(Q33)+N(R33)+N(S33)+N(T33)+N(U33)+N(V33))=3),"中","低")))</f>
        <v/>
      </c>
      <c r="X33" s="15" t="str">
        <f aca="false">IF(L33="中位60%",IF(W33="高",3,IF(W33="中",2,IF(W33="低",1,0)))+IF(M33="◎",1,0)+IF(N33="◎",1,0)+IF(O33="○",1,0)+IF(P33="○",1,0),"")</f>
        <v/>
      </c>
      <c r="Y33" s="20"/>
      <c r="Z33" s="18"/>
      <c r="AA33" s="20"/>
      <c r="AB33" s="20"/>
    </row>
    <row r="34" customFormat="false" ht="15" hidden="false" customHeight="false" outlineLevel="0" collapsed="false">
      <c r="A34" s="13" t="s">
        <v>142</v>
      </c>
      <c r="B34" s="14" t="s">
        <v>143</v>
      </c>
      <c r="C34" s="15" t="s">
        <v>61</v>
      </c>
      <c r="D34" s="15" t="n">
        <v>3</v>
      </c>
      <c r="E34" s="14" t="s">
        <v>101</v>
      </c>
      <c r="F34" s="15" t="s">
        <v>63</v>
      </c>
      <c r="G34" s="16" t="s">
        <v>76</v>
      </c>
      <c r="H34" s="17" t="n">
        <v>1</v>
      </c>
      <c r="I34" s="18"/>
      <c r="J34" s="15" t="n">
        <f aca="false">IF(AND(H34=1,N(I34)&gt;0),1,0)</f>
        <v>0</v>
      </c>
      <c r="K34" s="15" t="str">
        <f aca="false">IF(J34=1,SUMPRODUCT(($J$5:$J$312=1)*(N($I$5:$I$312)&gt;N(I34)))+1,"")</f>
        <v/>
      </c>
      <c r="L34" s="15" t="str">
        <f aca="false">IF(J34&lt;&gt;1,"",IF(K34&lt;=ROUND(SUM($J$5:$J$312)*0.2,0),"上位20%",IF(K34&lt;=ROUND(SUM($J$5:$J$312)*0.8,0),"中位60%","下位20%")))</f>
        <v/>
      </c>
      <c r="M34" s="15" t="str">
        <f aca="false">IF(F34="あり","◎","")</f>
        <v>◎</v>
      </c>
      <c r="N34" s="15" t="str">
        <f aca="false">IF(OR(LEFT(G34,1)="A",LEFT(G34,1)="B"),"◎","")</f>
        <v>◎</v>
      </c>
      <c r="O34" s="19"/>
      <c r="P34" s="19"/>
      <c r="Q34" s="19"/>
      <c r="R34" s="19"/>
      <c r="S34" s="19"/>
      <c r="T34" s="19"/>
      <c r="U34" s="19"/>
      <c r="V34" s="19"/>
      <c r="W34" s="15" t="str">
        <f aca="false">IF((N(Q34)+N(R34)+N(S34)+N(T34)+N(U34)+N(V34))=0,"",IF(AND((N(Q34)+N(R34)+N(T34))&gt;=2,(N(Q34)+N(R34)+N(S34)+N(T34)+N(U34)+N(V34))&gt;=4),"高",IF(AND((N(Q34)+N(R34)+N(T34))&gt;=1,(N(Q34)+N(R34)+N(S34)+N(T34)+N(U34)+N(V34))=3),"中","低")))</f>
        <v/>
      </c>
      <c r="X34" s="15" t="str">
        <f aca="false">IF(L34="中位60%",IF(W34="高",3,IF(W34="中",2,IF(W34="低",1,0)))+IF(M34="◎",1,0)+IF(N34="◎",1,0)+IF(O34="○",1,0)+IF(P34="○",1,0),"")</f>
        <v/>
      </c>
      <c r="Y34" s="20"/>
      <c r="Z34" s="18"/>
      <c r="AA34" s="20"/>
      <c r="AB34" s="20"/>
    </row>
    <row r="35" customFormat="false" ht="15" hidden="false" customHeight="false" outlineLevel="0" collapsed="false">
      <c r="A35" s="13" t="s">
        <v>144</v>
      </c>
      <c r="B35" s="14" t="s">
        <v>145</v>
      </c>
      <c r="C35" s="15" t="s">
        <v>61</v>
      </c>
      <c r="D35" s="15" t="n">
        <v>3</v>
      </c>
      <c r="E35" s="14" t="s">
        <v>94</v>
      </c>
      <c r="F35" s="15" t="s">
        <v>63</v>
      </c>
      <c r="G35" s="14"/>
      <c r="H35" s="17" t="n">
        <v>1</v>
      </c>
      <c r="I35" s="18"/>
      <c r="J35" s="15" t="n">
        <f aca="false">IF(AND(H35=1,N(I35)&gt;0),1,0)</f>
        <v>0</v>
      </c>
      <c r="K35" s="15" t="str">
        <f aca="false">IF(J35=1,SUMPRODUCT(($J$5:$J$312=1)*(N($I$5:$I$312)&gt;N(I35)))+1,"")</f>
        <v/>
      </c>
      <c r="L35" s="15" t="str">
        <f aca="false">IF(J35&lt;&gt;1,"",IF(K35&lt;=ROUND(SUM($J$5:$J$312)*0.2,0),"上位20%",IF(K35&lt;=ROUND(SUM($J$5:$J$312)*0.8,0),"中位60%","下位20%")))</f>
        <v/>
      </c>
      <c r="M35" s="15" t="str">
        <f aca="false">IF(F35="あり","◎","")</f>
        <v>◎</v>
      </c>
      <c r="N35" s="15" t="str">
        <f aca="false">IF(OR(LEFT(G35,1)="A",LEFT(G35,1)="B"),"◎","")</f>
        <v/>
      </c>
      <c r="O35" s="19"/>
      <c r="P35" s="19"/>
      <c r="Q35" s="19"/>
      <c r="R35" s="19"/>
      <c r="S35" s="19"/>
      <c r="T35" s="19"/>
      <c r="U35" s="19"/>
      <c r="V35" s="19"/>
      <c r="W35" s="15" t="str">
        <f aca="false">IF((N(Q35)+N(R35)+N(S35)+N(T35)+N(U35)+N(V35))=0,"",IF(AND((N(Q35)+N(R35)+N(T35))&gt;=2,(N(Q35)+N(R35)+N(S35)+N(T35)+N(U35)+N(V35))&gt;=4),"高",IF(AND((N(Q35)+N(R35)+N(T35))&gt;=1,(N(Q35)+N(R35)+N(S35)+N(T35)+N(U35)+N(V35))=3),"中","低")))</f>
        <v/>
      </c>
      <c r="X35" s="15" t="str">
        <f aca="false">IF(L35="中位60%",IF(W35="高",3,IF(W35="中",2,IF(W35="低",1,0)))+IF(M35="◎",1,0)+IF(N35="◎",1,0)+IF(O35="○",1,0)+IF(P35="○",1,0),"")</f>
        <v/>
      </c>
      <c r="Y35" s="20"/>
      <c r="Z35" s="18"/>
      <c r="AA35" s="20"/>
      <c r="AB35" s="20"/>
    </row>
    <row r="36" customFormat="false" ht="15" hidden="false" customHeight="false" outlineLevel="0" collapsed="false">
      <c r="A36" s="13" t="s">
        <v>146</v>
      </c>
      <c r="B36" s="14" t="s">
        <v>147</v>
      </c>
      <c r="C36" s="15" t="s">
        <v>61</v>
      </c>
      <c r="D36" s="15" t="n">
        <v>3</v>
      </c>
      <c r="E36" s="14" t="s">
        <v>83</v>
      </c>
      <c r="F36" s="15" t="s">
        <v>63</v>
      </c>
      <c r="G36" s="14"/>
      <c r="H36" s="17" t="n">
        <v>1</v>
      </c>
      <c r="I36" s="18"/>
      <c r="J36" s="15" t="n">
        <f aca="false">IF(AND(H36=1,N(I36)&gt;0),1,0)</f>
        <v>0</v>
      </c>
      <c r="K36" s="15" t="str">
        <f aca="false">IF(J36=1,SUMPRODUCT(($J$5:$J$312=1)*(N($I$5:$I$312)&gt;N(I36)))+1,"")</f>
        <v/>
      </c>
      <c r="L36" s="15" t="str">
        <f aca="false">IF(J36&lt;&gt;1,"",IF(K36&lt;=ROUND(SUM($J$5:$J$312)*0.2,0),"上位20%",IF(K36&lt;=ROUND(SUM($J$5:$J$312)*0.8,0),"中位60%","下位20%")))</f>
        <v/>
      </c>
      <c r="M36" s="15" t="str">
        <f aca="false">IF(F36="あり","◎","")</f>
        <v>◎</v>
      </c>
      <c r="N36" s="15" t="str">
        <f aca="false">IF(OR(LEFT(G36,1)="A",LEFT(G36,1)="B"),"◎","")</f>
        <v/>
      </c>
      <c r="O36" s="19"/>
      <c r="P36" s="19"/>
      <c r="Q36" s="19"/>
      <c r="R36" s="19"/>
      <c r="S36" s="19"/>
      <c r="T36" s="19"/>
      <c r="U36" s="19"/>
      <c r="V36" s="19"/>
      <c r="W36" s="15" t="str">
        <f aca="false">IF((N(Q36)+N(R36)+N(S36)+N(T36)+N(U36)+N(V36))=0,"",IF(AND((N(Q36)+N(R36)+N(T36))&gt;=2,(N(Q36)+N(R36)+N(S36)+N(T36)+N(U36)+N(V36))&gt;=4),"高",IF(AND((N(Q36)+N(R36)+N(T36))&gt;=1,(N(Q36)+N(R36)+N(S36)+N(T36)+N(U36)+N(V36))=3),"中","低")))</f>
        <v/>
      </c>
      <c r="X36" s="15" t="str">
        <f aca="false">IF(L36="中位60%",IF(W36="高",3,IF(W36="中",2,IF(W36="低",1,0)))+IF(M36="◎",1,0)+IF(N36="◎",1,0)+IF(O36="○",1,0)+IF(P36="○",1,0),"")</f>
        <v/>
      </c>
      <c r="Y36" s="20"/>
      <c r="Z36" s="18"/>
      <c r="AA36" s="20"/>
      <c r="AB36" s="20"/>
    </row>
    <row r="37" customFormat="false" ht="15" hidden="false" customHeight="false" outlineLevel="0" collapsed="false">
      <c r="A37" s="13" t="s">
        <v>148</v>
      </c>
      <c r="B37" s="14" t="s">
        <v>149</v>
      </c>
      <c r="C37" s="15" t="s">
        <v>61</v>
      </c>
      <c r="D37" s="15" t="n">
        <v>3</v>
      </c>
      <c r="E37" s="14" t="s">
        <v>79</v>
      </c>
      <c r="F37" s="15" t="s">
        <v>63</v>
      </c>
      <c r="G37" s="14"/>
      <c r="H37" s="17" t="n">
        <v>1</v>
      </c>
      <c r="I37" s="18"/>
      <c r="J37" s="15" t="n">
        <f aca="false">IF(AND(H37=1,N(I37)&gt;0),1,0)</f>
        <v>0</v>
      </c>
      <c r="K37" s="15" t="str">
        <f aca="false">IF(J37=1,SUMPRODUCT(($J$5:$J$312=1)*(N($I$5:$I$312)&gt;N(I37)))+1,"")</f>
        <v/>
      </c>
      <c r="L37" s="15" t="str">
        <f aca="false">IF(J37&lt;&gt;1,"",IF(K37&lt;=ROUND(SUM($J$5:$J$312)*0.2,0),"上位20%",IF(K37&lt;=ROUND(SUM($J$5:$J$312)*0.8,0),"中位60%","下位20%")))</f>
        <v/>
      </c>
      <c r="M37" s="15" t="str">
        <f aca="false">IF(F37="あり","◎","")</f>
        <v>◎</v>
      </c>
      <c r="N37" s="15" t="str">
        <f aca="false">IF(OR(LEFT(G37,1)="A",LEFT(G37,1)="B"),"◎","")</f>
        <v/>
      </c>
      <c r="O37" s="19"/>
      <c r="P37" s="19"/>
      <c r="Q37" s="19"/>
      <c r="R37" s="19"/>
      <c r="S37" s="19"/>
      <c r="T37" s="19"/>
      <c r="U37" s="19"/>
      <c r="V37" s="19"/>
      <c r="W37" s="15" t="str">
        <f aca="false">IF((N(Q37)+N(R37)+N(S37)+N(T37)+N(U37)+N(V37))=0,"",IF(AND((N(Q37)+N(R37)+N(T37))&gt;=2,(N(Q37)+N(R37)+N(S37)+N(T37)+N(U37)+N(V37))&gt;=4),"高",IF(AND((N(Q37)+N(R37)+N(T37))&gt;=1,(N(Q37)+N(R37)+N(S37)+N(T37)+N(U37)+N(V37))=3),"中","低")))</f>
        <v/>
      </c>
      <c r="X37" s="15" t="str">
        <f aca="false">IF(L37="中位60%",IF(W37="高",3,IF(W37="中",2,IF(W37="低",1,0)))+IF(M37="◎",1,0)+IF(N37="◎",1,0)+IF(O37="○",1,0)+IF(P37="○",1,0),"")</f>
        <v/>
      </c>
      <c r="Y37" s="20"/>
      <c r="Z37" s="18"/>
      <c r="AA37" s="20"/>
      <c r="AB37" s="20"/>
    </row>
    <row r="38" customFormat="false" ht="15" hidden="false" customHeight="false" outlineLevel="0" collapsed="false">
      <c r="A38" s="13" t="s">
        <v>150</v>
      </c>
      <c r="B38" s="14" t="s">
        <v>151</v>
      </c>
      <c r="C38" s="15" t="s">
        <v>61</v>
      </c>
      <c r="D38" s="15" t="n">
        <v>3</v>
      </c>
      <c r="E38" s="14" t="s">
        <v>94</v>
      </c>
      <c r="F38" s="15" t="s">
        <v>63</v>
      </c>
      <c r="G38" s="14"/>
      <c r="H38" s="17" t="n">
        <v>1</v>
      </c>
      <c r="I38" s="18"/>
      <c r="J38" s="15" t="n">
        <f aca="false">IF(AND(H38=1,N(I38)&gt;0),1,0)</f>
        <v>0</v>
      </c>
      <c r="K38" s="15" t="str">
        <f aca="false">IF(J38=1,SUMPRODUCT(($J$5:$J$312=1)*(N($I$5:$I$312)&gt;N(I38)))+1,"")</f>
        <v/>
      </c>
      <c r="L38" s="15" t="str">
        <f aca="false">IF(J38&lt;&gt;1,"",IF(K38&lt;=ROUND(SUM($J$5:$J$312)*0.2,0),"上位20%",IF(K38&lt;=ROUND(SUM($J$5:$J$312)*0.8,0),"中位60%","下位20%")))</f>
        <v/>
      </c>
      <c r="M38" s="15" t="str">
        <f aca="false">IF(F38="あり","◎","")</f>
        <v>◎</v>
      </c>
      <c r="N38" s="15" t="str">
        <f aca="false">IF(OR(LEFT(G38,1)="A",LEFT(G38,1)="B"),"◎","")</f>
        <v/>
      </c>
      <c r="O38" s="19"/>
      <c r="P38" s="19"/>
      <c r="Q38" s="19"/>
      <c r="R38" s="19"/>
      <c r="S38" s="19"/>
      <c r="T38" s="19"/>
      <c r="U38" s="19"/>
      <c r="V38" s="19"/>
      <c r="W38" s="15" t="str">
        <f aca="false">IF((N(Q38)+N(R38)+N(S38)+N(T38)+N(U38)+N(V38))=0,"",IF(AND((N(Q38)+N(R38)+N(T38))&gt;=2,(N(Q38)+N(R38)+N(S38)+N(T38)+N(U38)+N(V38))&gt;=4),"高",IF(AND((N(Q38)+N(R38)+N(T38))&gt;=1,(N(Q38)+N(R38)+N(S38)+N(T38)+N(U38)+N(V38))=3),"中","低")))</f>
        <v/>
      </c>
      <c r="X38" s="15" t="str">
        <f aca="false">IF(L38="中位60%",IF(W38="高",3,IF(W38="中",2,IF(W38="低",1,0)))+IF(M38="◎",1,0)+IF(N38="◎",1,0)+IF(O38="○",1,0)+IF(P38="○",1,0),"")</f>
        <v/>
      </c>
      <c r="Y38" s="20"/>
      <c r="Z38" s="18"/>
      <c r="AA38" s="20"/>
      <c r="AB38" s="20"/>
    </row>
    <row r="39" customFormat="false" ht="15" hidden="false" customHeight="false" outlineLevel="0" collapsed="false">
      <c r="A39" s="13" t="s">
        <v>152</v>
      </c>
      <c r="B39" s="14" t="s">
        <v>153</v>
      </c>
      <c r="C39" s="15" t="s">
        <v>61</v>
      </c>
      <c r="D39" s="15" t="n">
        <v>3</v>
      </c>
      <c r="E39" s="14" t="s">
        <v>83</v>
      </c>
      <c r="F39" s="15" t="s">
        <v>63</v>
      </c>
      <c r="G39" s="14"/>
      <c r="H39" s="17" t="n">
        <v>1</v>
      </c>
      <c r="I39" s="18"/>
      <c r="J39" s="15" t="n">
        <f aca="false">IF(AND(H39=1,N(I39)&gt;0),1,0)</f>
        <v>0</v>
      </c>
      <c r="K39" s="15" t="str">
        <f aca="false">IF(J39=1,SUMPRODUCT(($J$5:$J$312=1)*(N($I$5:$I$312)&gt;N(I39)))+1,"")</f>
        <v/>
      </c>
      <c r="L39" s="15" t="str">
        <f aca="false">IF(J39&lt;&gt;1,"",IF(K39&lt;=ROUND(SUM($J$5:$J$312)*0.2,0),"上位20%",IF(K39&lt;=ROUND(SUM($J$5:$J$312)*0.8,0),"中位60%","下位20%")))</f>
        <v/>
      </c>
      <c r="M39" s="15" t="str">
        <f aca="false">IF(F39="あり","◎","")</f>
        <v>◎</v>
      </c>
      <c r="N39" s="15" t="str">
        <f aca="false">IF(OR(LEFT(G39,1)="A",LEFT(G39,1)="B"),"◎","")</f>
        <v/>
      </c>
      <c r="O39" s="19"/>
      <c r="P39" s="19"/>
      <c r="Q39" s="19"/>
      <c r="R39" s="19"/>
      <c r="S39" s="19"/>
      <c r="T39" s="19"/>
      <c r="U39" s="19"/>
      <c r="V39" s="19"/>
      <c r="W39" s="15" t="str">
        <f aca="false">IF((N(Q39)+N(R39)+N(S39)+N(T39)+N(U39)+N(V39))=0,"",IF(AND((N(Q39)+N(R39)+N(T39))&gt;=2,(N(Q39)+N(R39)+N(S39)+N(T39)+N(U39)+N(V39))&gt;=4),"高",IF(AND((N(Q39)+N(R39)+N(T39))&gt;=1,(N(Q39)+N(R39)+N(S39)+N(T39)+N(U39)+N(V39))=3),"中","低")))</f>
        <v/>
      </c>
      <c r="X39" s="15" t="str">
        <f aca="false">IF(L39="中位60%",IF(W39="高",3,IF(W39="中",2,IF(W39="低",1,0)))+IF(M39="◎",1,0)+IF(N39="◎",1,0)+IF(O39="○",1,0)+IF(P39="○",1,0),"")</f>
        <v/>
      </c>
      <c r="Y39" s="20"/>
      <c r="Z39" s="18"/>
      <c r="AA39" s="20"/>
      <c r="AB39" s="20"/>
    </row>
    <row r="40" customFormat="false" ht="15" hidden="false" customHeight="false" outlineLevel="0" collapsed="false">
      <c r="A40" s="13" t="s">
        <v>154</v>
      </c>
      <c r="B40" s="14" t="s">
        <v>155</v>
      </c>
      <c r="C40" s="15" t="s">
        <v>61</v>
      </c>
      <c r="D40" s="15" t="n">
        <v>4</v>
      </c>
      <c r="E40" s="14" t="s">
        <v>62</v>
      </c>
      <c r="F40" s="15" t="s">
        <v>80</v>
      </c>
      <c r="G40" s="16" t="s">
        <v>88</v>
      </c>
      <c r="H40" s="17" t="n">
        <v>1</v>
      </c>
      <c r="I40" s="18"/>
      <c r="J40" s="15" t="n">
        <f aca="false">IF(AND(H40=1,N(I40)&gt;0),1,0)</f>
        <v>0</v>
      </c>
      <c r="K40" s="15" t="str">
        <f aca="false">IF(J40=1,SUMPRODUCT(($J$5:$J$312=1)*(N($I$5:$I$312)&gt;N(I40)))+1,"")</f>
        <v/>
      </c>
      <c r="L40" s="15" t="str">
        <f aca="false">IF(J40&lt;&gt;1,"",IF(K40&lt;=ROUND(SUM($J$5:$J$312)*0.2,0),"上位20%",IF(K40&lt;=ROUND(SUM($J$5:$J$312)*0.8,0),"中位60%","下位20%")))</f>
        <v/>
      </c>
      <c r="M40" s="15" t="str">
        <f aca="false">IF(F40="あり","◎","")</f>
        <v/>
      </c>
      <c r="N40" s="15" t="str">
        <f aca="false">IF(OR(LEFT(G40,1)="A",LEFT(G40,1)="B"),"◎","")</f>
        <v/>
      </c>
      <c r="O40" s="19"/>
      <c r="P40" s="19"/>
      <c r="Q40" s="19"/>
      <c r="R40" s="19"/>
      <c r="S40" s="19"/>
      <c r="T40" s="19"/>
      <c r="U40" s="19"/>
      <c r="V40" s="19"/>
      <c r="W40" s="15" t="str">
        <f aca="false">IF((N(Q40)+N(R40)+N(S40)+N(T40)+N(U40)+N(V40))=0,"",IF(AND((N(Q40)+N(R40)+N(T40))&gt;=2,(N(Q40)+N(R40)+N(S40)+N(T40)+N(U40)+N(V40))&gt;=4),"高",IF(AND((N(Q40)+N(R40)+N(T40))&gt;=1,(N(Q40)+N(R40)+N(S40)+N(T40)+N(U40)+N(V40))=3),"中","低")))</f>
        <v/>
      </c>
      <c r="X40" s="15" t="str">
        <f aca="false">IF(L40="中位60%",IF(W40="高",3,IF(W40="中",2,IF(W40="低",1,0)))+IF(M40="◎",1,0)+IF(N40="◎",1,0)+IF(O40="○",1,0)+IF(P40="○",1,0),"")</f>
        <v/>
      </c>
      <c r="Y40" s="20"/>
      <c r="Z40" s="18"/>
      <c r="AA40" s="20"/>
      <c r="AB40" s="20"/>
    </row>
    <row r="41" customFormat="false" ht="15" hidden="false" customHeight="false" outlineLevel="0" collapsed="false">
      <c r="A41" s="13" t="s">
        <v>156</v>
      </c>
      <c r="B41" s="14" t="s">
        <v>157</v>
      </c>
      <c r="C41" s="15" t="s">
        <v>61</v>
      </c>
      <c r="D41" s="15" t="n">
        <v>4</v>
      </c>
      <c r="E41" s="14" t="s">
        <v>62</v>
      </c>
      <c r="F41" s="15" t="s">
        <v>80</v>
      </c>
      <c r="G41" s="16" t="s">
        <v>64</v>
      </c>
      <c r="H41" s="17" t="n">
        <v>1</v>
      </c>
      <c r="I41" s="18"/>
      <c r="J41" s="15" t="n">
        <f aca="false">IF(AND(H41=1,N(I41)&gt;0),1,0)</f>
        <v>0</v>
      </c>
      <c r="K41" s="15" t="str">
        <f aca="false">IF(J41=1,SUMPRODUCT(($J$5:$J$312=1)*(N($I$5:$I$312)&gt;N(I41)))+1,"")</f>
        <v/>
      </c>
      <c r="L41" s="15" t="str">
        <f aca="false">IF(J41&lt;&gt;1,"",IF(K41&lt;=ROUND(SUM($J$5:$J$312)*0.2,0),"上位20%",IF(K41&lt;=ROUND(SUM($J$5:$J$312)*0.8,0),"中位60%","下位20%")))</f>
        <v/>
      </c>
      <c r="M41" s="15" t="str">
        <f aca="false">IF(F41="あり","◎","")</f>
        <v/>
      </c>
      <c r="N41" s="15" t="str">
        <f aca="false">IF(OR(LEFT(G41,1)="A",LEFT(G41,1)="B"),"◎","")</f>
        <v/>
      </c>
      <c r="O41" s="19"/>
      <c r="P41" s="19"/>
      <c r="Q41" s="19"/>
      <c r="R41" s="19"/>
      <c r="S41" s="19"/>
      <c r="T41" s="19"/>
      <c r="U41" s="19"/>
      <c r="V41" s="19"/>
      <c r="W41" s="15" t="str">
        <f aca="false">IF((N(Q41)+N(R41)+N(S41)+N(T41)+N(U41)+N(V41))=0,"",IF(AND((N(Q41)+N(R41)+N(T41))&gt;=2,(N(Q41)+N(R41)+N(S41)+N(T41)+N(U41)+N(V41))&gt;=4),"高",IF(AND((N(Q41)+N(R41)+N(T41))&gt;=1,(N(Q41)+N(R41)+N(S41)+N(T41)+N(U41)+N(V41))=3),"中","低")))</f>
        <v/>
      </c>
      <c r="X41" s="15" t="str">
        <f aca="false">IF(L41="中位60%",IF(W41="高",3,IF(W41="中",2,IF(W41="低",1,0)))+IF(M41="◎",1,0)+IF(N41="◎",1,0)+IF(O41="○",1,0)+IF(P41="○",1,0),"")</f>
        <v/>
      </c>
      <c r="Y41" s="20"/>
      <c r="Z41" s="18"/>
      <c r="AA41" s="20"/>
      <c r="AB41" s="20"/>
    </row>
    <row r="42" customFormat="false" ht="15" hidden="false" customHeight="false" outlineLevel="0" collapsed="false">
      <c r="A42" s="13" t="s">
        <v>158</v>
      </c>
      <c r="B42" s="14" t="s">
        <v>159</v>
      </c>
      <c r="C42" s="15" t="s">
        <v>61</v>
      </c>
      <c r="D42" s="15" t="n">
        <v>4</v>
      </c>
      <c r="E42" s="14" t="s">
        <v>79</v>
      </c>
      <c r="F42" s="15" t="s">
        <v>63</v>
      </c>
      <c r="G42" s="16" t="s">
        <v>110</v>
      </c>
      <c r="H42" s="17" t="n">
        <v>1</v>
      </c>
      <c r="I42" s="18"/>
      <c r="J42" s="15" t="n">
        <f aca="false">IF(AND(H42=1,N(I42)&gt;0),1,0)</f>
        <v>0</v>
      </c>
      <c r="K42" s="15" t="str">
        <f aca="false">IF(J42=1,SUMPRODUCT(($J$5:$J$312=1)*(N($I$5:$I$312)&gt;N(I42)))+1,"")</f>
        <v/>
      </c>
      <c r="L42" s="15" t="str">
        <f aca="false">IF(J42&lt;&gt;1,"",IF(K42&lt;=ROUND(SUM($J$5:$J$312)*0.2,0),"上位20%",IF(K42&lt;=ROUND(SUM($J$5:$J$312)*0.8,0),"中位60%","下位20%")))</f>
        <v/>
      </c>
      <c r="M42" s="15" t="str">
        <f aca="false">IF(F42="あり","◎","")</f>
        <v>◎</v>
      </c>
      <c r="N42" s="15" t="str">
        <f aca="false">IF(OR(LEFT(G42,1)="A",LEFT(G42,1)="B"),"◎","")</f>
        <v>◎</v>
      </c>
      <c r="O42" s="19"/>
      <c r="P42" s="19"/>
      <c r="Q42" s="19"/>
      <c r="R42" s="19"/>
      <c r="S42" s="19"/>
      <c r="T42" s="19"/>
      <c r="U42" s="19"/>
      <c r="V42" s="19"/>
      <c r="W42" s="15" t="str">
        <f aca="false">IF((N(Q42)+N(R42)+N(S42)+N(T42)+N(U42)+N(V42))=0,"",IF(AND((N(Q42)+N(R42)+N(T42))&gt;=2,(N(Q42)+N(R42)+N(S42)+N(T42)+N(U42)+N(V42))&gt;=4),"高",IF(AND((N(Q42)+N(R42)+N(T42))&gt;=1,(N(Q42)+N(R42)+N(S42)+N(T42)+N(U42)+N(V42))=3),"中","低")))</f>
        <v/>
      </c>
      <c r="X42" s="15" t="str">
        <f aca="false">IF(L42="中位60%",IF(W42="高",3,IF(W42="中",2,IF(W42="低",1,0)))+IF(M42="◎",1,0)+IF(N42="◎",1,0)+IF(O42="○",1,0)+IF(P42="○",1,0),"")</f>
        <v/>
      </c>
      <c r="Y42" s="20"/>
      <c r="Z42" s="18"/>
      <c r="AA42" s="20"/>
      <c r="AB42" s="20"/>
    </row>
    <row r="43" customFormat="false" ht="15" hidden="false" customHeight="false" outlineLevel="0" collapsed="false">
      <c r="A43" s="13" t="s">
        <v>160</v>
      </c>
      <c r="B43" s="14" t="s">
        <v>161</v>
      </c>
      <c r="C43" s="15" t="s">
        <v>61</v>
      </c>
      <c r="D43" s="15" t="n">
        <v>4</v>
      </c>
      <c r="E43" s="14" t="s">
        <v>83</v>
      </c>
      <c r="F43" s="15" t="s">
        <v>63</v>
      </c>
      <c r="G43" s="16" t="s">
        <v>88</v>
      </c>
      <c r="H43" s="17" t="n">
        <v>1</v>
      </c>
      <c r="I43" s="18"/>
      <c r="J43" s="15" t="n">
        <f aca="false">IF(AND(H43=1,N(I43)&gt;0),1,0)</f>
        <v>0</v>
      </c>
      <c r="K43" s="15" t="str">
        <f aca="false">IF(J43=1,SUMPRODUCT(($J$5:$J$312=1)*(N($I$5:$I$312)&gt;N(I43)))+1,"")</f>
        <v/>
      </c>
      <c r="L43" s="15" t="str">
        <f aca="false">IF(J43&lt;&gt;1,"",IF(K43&lt;=ROUND(SUM($J$5:$J$312)*0.2,0),"上位20%",IF(K43&lt;=ROUND(SUM($J$5:$J$312)*0.8,0),"中位60%","下位20%")))</f>
        <v/>
      </c>
      <c r="M43" s="15" t="str">
        <f aca="false">IF(F43="あり","◎","")</f>
        <v>◎</v>
      </c>
      <c r="N43" s="15" t="str">
        <f aca="false">IF(OR(LEFT(G43,1)="A",LEFT(G43,1)="B"),"◎","")</f>
        <v/>
      </c>
      <c r="O43" s="19"/>
      <c r="P43" s="19"/>
      <c r="Q43" s="19"/>
      <c r="R43" s="19"/>
      <c r="S43" s="19"/>
      <c r="T43" s="19"/>
      <c r="U43" s="19"/>
      <c r="V43" s="19"/>
      <c r="W43" s="15" t="str">
        <f aca="false">IF((N(Q43)+N(R43)+N(S43)+N(T43)+N(U43)+N(V43))=0,"",IF(AND((N(Q43)+N(R43)+N(T43))&gt;=2,(N(Q43)+N(R43)+N(S43)+N(T43)+N(U43)+N(V43))&gt;=4),"高",IF(AND((N(Q43)+N(R43)+N(T43))&gt;=1,(N(Q43)+N(R43)+N(S43)+N(T43)+N(U43)+N(V43))=3),"中","低")))</f>
        <v/>
      </c>
      <c r="X43" s="15" t="str">
        <f aca="false">IF(L43="中位60%",IF(W43="高",3,IF(W43="中",2,IF(W43="低",1,0)))+IF(M43="◎",1,0)+IF(N43="◎",1,0)+IF(O43="○",1,0)+IF(P43="○",1,0),"")</f>
        <v/>
      </c>
      <c r="Y43" s="20"/>
      <c r="Z43" s="18"/>
      <c r="AA43" s="20"/>
      <c r="AB43" s="20"/>
    </row>
    <row r="44" customFormat="false" ht="15" hidden="false" customHeight="false" outlineLevel="0" collapsed="false">
      <c r="A44" s="13" t="s">
        <v>162</v>
      </c>
      <c r="B44" s="14" t="s">
        <v>163</v>
      </c>
      <c r="C44" s="15" t="s">
        <v>61</v>
      </c>
      <c r="D44" s="15" t="n">
        <v>4</v>
      </c>
      <c r="E44" s="14" t="s">
        <v>62</v>
      </c>
      <c r="F44" s="15" t="s">
        <v>80</v>
      </c>
      <c r="G44" s="16" t="s">
        <v>64</v>
      </c>
      <c r="H44" s="17" t="n">
        <v>1</v>
      </c>
      <c r="I44" s="18"/>
      <c r="J44" s="15" t="n">
        <f aca="false">IF(AND(H44=1,N(I44)&gt;0),1,0)</f>
        <v>0</v>
      </c>
      <c r="K44" s="15" t="str">
        <f aca="false">IF(J44=1,SUMPRODUCT(($J$5:$J$312=1)*(N($I$5:$I$312)&gt;N(I44)))+1,"")</f>
        <v/>
      </c>
      <c r="L44" s="15" t="str">
        <f aca="false">IF(J44&lt;&gt;1,"",IF(K44&lt;=ROUND(SUM($J$5:$J$312)*0.2,0),"上位20%",IF(K44&lt;=ROUND(SUM($J$5:$J$312)*0.8,0),"中位60%","下位20%")))</f>
        <v/>
      </c>
      <c r="M44" s="15" t="str">
        <f aca="false">IF(F44="あり","◎","")</f>
        <v/>
      </c>
      <c r="N44" s="15" t="str">
        <f aca="false">IF(OR(LEFT(G44,1)="A",LEFT(G44,1)="B"),"◎","")</f>
        <v/>
      </c>
      <c r="O44" s="19"/>
      <c r="P44" s="19"/>
      <c r="Q44" s="19"/>
      <c r="R44" s="19"/>
      <c r="S44" s="19"/>
      <c r="T44" s="19"/>
      <c r="U44" s="19"/>
      <c r="V44" s="19"/>
      <c r="W44" s="15" t="str">
        <f aca="false">IF((N(Q44)+N(R44)+N(S44)+N(T44)+N(U44)+N(V44))=0,"",IF(AND((N(Q44)+N(R44)+N(T44))&gt;=2,(N(Q44)+N(R44)+N(S44)+N(T44)+N(U44)+N(V44))&gt;=4),"高",IF(AND((N(Q44)+N(R44)+N(T44))&gt;=1,(N(Q44)+N(R44)+N(S44)+N(T44)+N(U44)+N(V44))=3),"中","低")))</f>
        <v/>
      </c>
      <c r="X44" s="15" t="str">
        <f aca="false">IF(L44="中位60%",IF(W44="高",3,IF(W44="中",2,IF(W44="低",1,0)))+IF(M44="◎",1,0)+IF(N44="◎",1,0)+IF(O44="○",1,0)+IF(P44="○",1,0),"")</f>
        <v/>
      </c>
      <c r="Y44" s="20"/>
      <c r="Z44" s="18"/>
      <c r="AA44" s="20"/>
      <c r="AB44" s="20"/>
    </row>
    <row r="45" customFormat="false" ht="15" hidden="false" customHeight="false" outlineLevel="0" collapsed="false">
      <c r="A45" s="13" t="s">
        <v>164</v>
      </c>
      <c r="B45" s="14" t="s">
        <v>165</v>
      </c>
      <c r="C45" s="15" t="s">
        <v>61</v>
      </c>
      <c r="D45" s="15" t="n">
        <v>4</v>
      </c>
      <c r="E45" s="14" t="s">
        <v>62</v>
      </c>
      <c r="F45" s="15" t="s">
        <v>80</v>
      </c>
      <c r="G45" s="16" t="s">
        <v>76</v>
      </c>
      <c r="H45" s="17" t="n">
        <v>1</v>
      </c>
      <c r="I45" s="18"/>
      <c r="J45" s="15" t="n">
        <f aca="false">IF(AND(H45=1,N(I45)&gt;0),1,0)</f>
        <v>0</v>
      </c>
      <c r="K45" s="15" t="str">
        <f aca="false">IF(J45=1,SUMPRODUCT(($J$5:$J$312=1)*(N($I$5:$I$312)&gt;N(I45)))+1,"")</f>
        <v/>
      </c>
      <c r="L45" s="15" t="str">
        <f aca="false">IF(J45&lt;&gt;1,"",IF(K45&lt;=ROUND(SUM($J$5:$J$312)*0.2,0),"上位20%",IF(K45&lt;=ROUND(SUM($J$5:$J$312)*0.8,0),"中位60%","下位20%")))</f>
        <v/>
      </c>
      <c r="M45" s="15" t="str">
        <f aca="false">IF(F45="あり","◎","")</f>
        <v/>
      </c>
      <c r="N45" s="15" t="str">
        <f aca="false">IF(OR(LEFT(G45,1)="A",LEFT(G45,1)="B"),"◎","")</f>
        <v>◎</v>
      </c>
      <c r="O45" s="19"/>
      <c r="P45" s="19"/>
      <c r="Q45" s="19"/>
      <c r="R45" s="19"/>
      <c r="S45" s="19"/>
      <c r="T45" s="19"/>
      <c r="U45" s="19"/>
      <c r="V45" s="19"/>
      <c r="W45" s="15" t="str">
        <f aca="false">IF((N(Q45)+N(R45)+N(S45)+N(T45)+N(U45)+N(V45))=0,"",IF(AND((N(Q45)+N(R45)+N(T45))&gt;=2,(N(Q45)+N(R45)+N(S45)+N(T45)+N(U45)+N(V45))&gt;=4),"高",IF(AND((N(Q45)+N(R45)+N(T45))&gt;=1,(N(Q45)+N(R45)+N(S45)+N(T45)+N(U45)+N(V45))=3),"中","低")))</f>
        <v/>
      </c>
      <c r="X45" s="15" t="str">
        <f aca="false">IF(L45="中位60%",IF(W45="高",3,IF(W45="中",2,IF(W45="低",1,0)))+IF(M45="◎",1,0)+IF(N45="◎",1,0)+IF(O45="○",1,0)+IF(P45="○",1,0),"")</f>
        <v/>
      </c>
      <c r="Y45" s="20"/>
      <c r="Z45" s="18"/>
      <c r="AA45" s="20"/>
      <c r="AB45" s="20"/>
    </row>
    <row r="46" customFormat="false" ht="15" hidden="false" customHeight="false" outlineLevel="0" collapsed="false">
      <c r="A46" s="13" t="s">
        <v>166</v>
      </c>
      <c r="B46" s="14" t="s">
        <v>167</v>
      </c>
      <c r="C46" s="15" t="s">
        <v>61</v>
      </c>
      <c r="D46" s="15" t="n">
        <v>4</v>
      </c>
      <c r="E46" s="14" t="s">
        <v>83</v>
      </c>
      <c r="F46" s="15" t="s">
        <v>63</v>
      </c>
      <c r="G46" s="16" t="s">
        <v>64</v>
      </c>
      <c r="H46" s="17" t="n">
        <v>1</v>
      </c>
      <c r="I46" s="18"/>
      <c r="J46" s="15" t="n">
        <f aca="false">IF(AND(H46=1,N(I46)&gt;0),1,0)</f>
        <v>0</v>
      </c>
      <c r="K46" s="15" t="str">
        <f aca="false">IF(J46=1,SUMPRODUCT(($J$5:$J$312=1)*(N($I$5:$I$312)&gt;N(I46)))+1,"")</f>
        <v/>
      </c>
      <c r="L46" s="15" t="str">
        <f aca="false">IF(J46&lt;&gt;1,"",IF(K46&lt;=ROUND(SUM($J$5:$J$312)*0.2,0),"上位20%",IF(K46&lt;=ROUND(SUM($J$5:$J$312)*0.8,0),"中位60%","下位20%")))</f>
        <v/>
      </c>
      <c r="M46" s="15" t="str">
        <f aca="false">IF(F46="あり","◎","")</f>
        <v>◎</v>
      </c>
      <c r="N46" s="15" t="str">
        <f aca="false">IF(OR(LEFT(G46,1)="A",LEFT(G46,1)="B"),"◎","")</f>
        <v/>
      </c>
      <c r="O46" s="19"/>
      <c r="P46" s="19"/>
      <c r="Q46" s="19"/>
      <c r="R46" s="19"/>
      <c r="S46" s="19"/>
      <c r="T46" s="19"/>
      <c r="U46" s="19"/>
      <c r="V46" s="19"/>
      <c r="W46" s="15" t="str">
        <f aca="false">IF((N(Q46)+N(R46)+N(S46)+N(T46)+N(U46)+N(V46))=0,"",IF(AND((N(Q46)+N(R46)+N(T46))&gt;=2,(N(Q46)+N(R46)+N(S46)+N(T46)+N(U46)+N(V46))&gt;=4),"高",IF(AND((N(Q46)+N(R46)+N(T46))&gt;=1,(N(Q46)+N(R46)+N(S46)+N(T46)+N(U46)+N(V46))=3),"中","低")))</f>
        <v/>
      </c>
      <c r="X46" s="15" t="str">
        <f aca="false">IF(L46="中位60%",IF(W46="高",3,IF(W46="中",2,IF(W46="低",1,0)))+IF(M46="◎",1,0)+IF(N46="◎",1,0)+IF(O46="○",1,0)+IF(P46="○",1,0),"")</f>
        <v/>
      </c>
      <c r="Y46" s="20"/>
      <c r="Z46" s="18"/>
      <c r="AA46" s="20"/>
      <c r="AB46" s="20"/>
    </row>
    <row r="47" customFormat="false" ht="15" hidden="false" customHeight="false" outlineLevel="0" collapsed="false">
      <c r="A47" s="13" t="s">
        <v>168</v>
      </c>
      <c r="B47" s="14" t="s">
        <v>169</v>
      </c>
      <c r="C47" s="15" t="s">
        <v>61</v>
      </c>
      <c r="D47" s="15" t="n">
        <v>4</v>
      </c>
      <c r="E47" s="14" t="s">
        <v>62</v>
      </c>
      <c r="F47" s="15" t="s">
        <v>63</v>
      </c>
      <c r="G47" s="16" t="s">
        <v>64</v>
      </c>
      <c r="H47" s="17" t="n">
        <v>1</v>
      </c>
      <c r="I47" s="18"/>
      <c r="J47" s="15" t="n">
        <f aca="false">IF(AND(H47=1,N(I47)&gt;0),1,0)</f>
        <v>0</v>
      </c>
      <c r="K47" s="15" t="str">
        <f aca="false">IF(J47=1,SUMPRODUCT(($J$5:$J$312=1)*(N($I$5:$I$312)&gt;N(I47)))+1,"")</f>
        <v/>
      </c>
      <c r="L47" s="15" t="str">
        <f aca="false">IF(J47&lt;&gt;1,"",IF(K47&lt;=ROUND(SUM($J$5:$J$312)*0.2,0),"上位20%",IF(K47&lt;=ROUND(SUM($J$5:$J$312)*0.8,0),"中位60%","下位20%")))</f>
        <v/>
      </c>
      <c r="M47" s="15" t="str">
        <f aca="false">IF(F47="あり","◎","")</f>
        <v>◎</v>
      </c>
      <c r="N47" s="15" t="str">
        <f aca="false">IF(OR(LEFT(G47,1)="A",LEFT(G47,1)="B"),"◎","")</f>
        <v/>
      </c>
      <c r="O47" s="19"/>
      <c r="P47" s="19"/>
      <c r="Q47" s="19"/>
      <c r="R47" s="19"/>
      <c r="S47" s="19"/>
      <c r="T47" s="19"/>
      <c r="U47" s="19"/>
      <c r="V47" s="19"/>
      <c r="W47" s="15" t="str">
        <f aca="false">IF((N(Q47)+N(R47)+N(S47)+N(T47)+N(U47)+N(V47))=0,"",IF(AND((N(Q47)+N(R47)+N(T47))&gt;=2,(N(Q47)+N(R47)+N(S47)+N(T47)+N(U47)+N(V47))&gt;=4),"高",IF(AND((N(Q47)+N(R47)+N(T47))&gt;=1,(N(Q47)+N(R47)+N(S47)+N(T47)+N(U47)+N(V47))=3),"中","低")))</f>
        <v/>
      </c>
      <c r="X47" s="15" t="str">
        <f aca="false">IF(L47="中位60%",IF(W47="高",3,IF(W47="中",2,IF(W47="低",1,0)))+IF(M47="◎",1,0)+IF(N47="◎",1,0)+IF(O47="○",1,0)+IF(P47="○",1,0),"")</f>
        <v/>
      </c>
      <c r="Y47" s="20"/>
      <c r="Z47" s="18"/>
      <c r="AA47" s="20"/>
      <c r="AB47" s="20"/>
    </row>
    <row r="48" customFormat="false" ht="15" hidden="false" customHeight="false" outlineLevel="0" collapsed="false">
      <c r="A48" s="13" t="s">
        <v>170</v>
      </c>
      <c r="B48" s="14" t="s">
        <v>171</v>
      </c>
      <c r="C48" s="15" t="s">
        <v>61</v>
      </c>
      <c r="D48" s="15" t="n">
        <v>4</v>
      </c>
      <c r="E48" s="14" t="s">
        <v>117</v>
      </c>
      <c r="F48" s="15" t="s">
        <v>80</v>
      </c>
      <c r="G48" s="16" t="s">
        <v>76</v>
      </c>
      <c r="H48" s="17" t="n">
        <v>1</v>
      </c>
      <c r="I48" s="18"/>
      <c r="J48" s="15" t="n">
        <f aca="false">IF(AND(H48=1,N(I48)&gt;0),1,0)</f>
        <v>0</v>
      </c>
      <c r="K48" s="15" t="str">
        <f aca="false">IF(J48=1,SUMPRODUCT(($J$5:$J$312=1)*(N($I$5:$I$312)&gt;N(I48)))+1,"")</f>
        <v/>
      </c>
      <c r="L48" s="15" t="str">
        <f aca="false">IF(J48&lt;&gt;1,"",IF(K48&lt;=ROUND(SUM($J$5:$J$312)*0.2,0),"上位20%",IF(K48&lt;=ROUND(SUM($J$5:$J$312)*0.8,0),"中位60%","下位20%")))</f>
        <v/>
      </c>
      <c r="M48" s="15" t="str">
        <f aca="false">IF(F48="あり","◎","")</f>
        <v/>
      </c>
      <c r="N48" s="15" t="str">
        <f aca="false">IF(OR(LEFT(G48,1)="A",LEFT(G48,1)="B"),"◎","")</f>
        <v>◎</v>
      </c>
      <c r="O48" s="19"/>
      <c r="P48" s="19"/>
      <c r="Q48" s="19"/>
      <c r="R48" s="19"/>
      <c r="S48" s="19"/>
      <c r="T48" s="19"/>
      <c r="U48" s="19"/>
      <c r="V48" s="19"/>
      <c r="W48" s="15" t="str">
        <f aca="false">IF((N(Q48)+N(R48)+N(S48)+N(T48)+N(U48)+N(V48))=0,"",IF(AND((N(Q48)+N(R48)+N(T48))&gt;=2,(N(Q48)+N(R48)+N(S48)+N(T48)+N(U48)+N(V48))&gt;=4),"高",IF(AND((N(Q48)+N(R48)+N(T48))&gt;=1,(N(Q48)+N(R48)+N(S48)+N(T48)+N(U48)+N(V48))=3),"中","低")))</f>
        <v/>
      </c>
      <c r="X48" s="15" t="str">
        <f aca="false">IF(L48="中位60%",IF(W48="高",3,IF(W48="中",2,IF(W48="低",1,0)))+IF(M48="◎",1,0)+IF(N48="◎",1,0)+IF(O48="○",1,0)+IF(P48="○",1,0),"")</f>
        <v/>
      </c>
      <c r="Y48" s="20"/>
      <c r="Z48" s="18"/>
      <c r="AA48" s="20"/>
      <c r="AB48" s="20"/>
    </row>
    <row r="49" customFormat="false" ht="15" hidden="false" customHeight="false" outlineLevel="0" collapsed="false">
      <c r="A49" s="13" t="s">
        <v>172</v>
      </c>
      <c r="B49" s="14" t="s">
        <v>173</v>
      </c>
      <c r="C49" s="15" t="s">
        <v>61</v>
      </c>
      <c r="D49" s="15" t="n">
        <v>4</v>
      </c>
      <c r="E49" s="14" t="s">
        <v>79</v>
      </c>
      <c r="F49" s="15" t="s">
        <v>80</v>
      </c>
      <c r="G49" s="16" t="s">
        <v>64</v>
      </c>
      <c r="H49" s="17" t="n">
        <v>1</v>
      </c>
      <c r="I49" s="18"/>
      <c r="J49" s="15" t="n">
        <f aca="false">IF(AND(H49=1,N(I49)&gt;0),1,0)</f>
        <v>0</v>
      </c>
      <c r="K49" s="15" t="str">
        <f aca="false">IF(J49=1,SUMPRODUCT(($J$5:$J$312=1)*(N($I$5:$I$312)&gt;N(I49)))+1,"")</f>
        <v/>
      </c>
      <c r="L49" s="15" t="str">
        <f aca="false">IF(J49&lt;&gt;1,"",IF(K49&lt;=ROUND(SUM($J$5:$J$312)*0.2,0),"上位20%",IF(K49&lt;=ROUND(SUM($J$5:$J$312)*0.8,0),"中位60%","下位20%")))</f>
        <v/>
      </c>
      <c r="M49" s="15" t="str">
        <f aca="false">IF(F49="あり","◎","")</f>
        <v/>
      </c>
      <c r="N49" s="15" t="str">
        <f aca="false">IF(OR(LEFT(G49,1)="A",LEFT(G49,1)="B"),"◎","")</f>
        <v/>
      </c>
      <c r="O49" s="19"/>
      <c r="P49" s="19"/>
      <c r="Q49" s="19"/>
      <c r="R49" s="19"/>
      <c r="S49" s="19"/>
      <c r="T49" s="19"/>
      <c r="U49" s="19"/>
      <c r="V49" s="19"/>
      <c r="W49" s="15" t="str">
        <f aca="false">IF((N(Q49)+N(R49)+N(S49)+N(T49)+N(U49)+N(V49))=0,"",IF(AND((N(Q49)+N(R49)+N(T49))&gt;=2,(N(Q49)+N(R49)+N(S49)+N(T49)+N(U49)+N(V49))&gt;=4),"高",IF(AND((N(Q49)+N(R49)+N(T49))&gt;=1,(N(Q49)+N(R49)+N(S49)+N(T49)+N(U49)+N(V49))=3),"中","低")))</f>
        <v/>
      </c>
      <c r="X49" s="15" t="str">
        <f aca="false">IF(L49="中位60%",IF(W49="高",3,IF(W49="中",2,IF(W49="低",1,0)))+IF(M49="◎",1,0)+IF(N49="◎",1,0)+IF(O49="○",1,0)+IF(P49="○",1,0),"")</f>
        <v/>
      </c>
      <c r="Y49" s="20"/>
      <c r="Z49" s="18"/>
      <c r="AA49" s="20"/>
      <c r="AB49" s="20"/>
    </row>
    <row r="50" customFormat="false" ht="15" hidden="false" customHeight="false" outlineLevel="0" collapsed="false">
      <c r="A50" s="13" t="s">
        <v>174</v>
      </c>
      <c r="B50" s="14" t="s">
        <v>175</v>
      </c>
      <c r="C50" s="15" t="s">
        <v>61</v>
      </c>
      <c r="D50" s="15" t="n">
        <v>4</v>
      </c>
      <c r="E50" s="14" t="s">
        <v>75</v>
      </c>
      <c r="F50" s="15" t="s">
        <v>63</v>
      </c>
      <c r="G50" s="16" t="s">
        <v>64</v>
      </c>
      <c r="H50" s="17" t="n">
        <v>1</v>
      </c>
      <c r="I50" s="18"/>
      <c r="J50" s="15" t="n">
        <f aca="false">IF(AND(H50=1,N(I50)&gt;0),1,0)</f>
        <v>0</v>
      </c>
      <c r="K50" s="15" t="str">
        <f aca="false">IF(J50=1,SUMPRODUCT(($J$5:$J$312=1)*(N($I$5:$I$312)&gt;N(I50)))+1,"")</f>
        <v/>
      </c>
      <c r="L50" s="15" t="str">
        <f aca="false">IF(J50&lt;&gt;1,"",IF(K50&lt;=ROUND(SUM($J$5:$J$312)*0.2,0),"上位20%",IF(K50&lt;=ROUND(SUM($J$5:$J$312)*0.8,0),"中位60%","下位20%")))</f>
        <v/>
      </c>
      <c r="M50" s="15" t="str">
        <f aca="false">IF(F50="あり","◎","")</f>
        <v>◎</v>
      </c>
      <c r="N50" s="15" t="str">
        <f aca="false">IF(OR(LEFT(G50,1)="A",LEFT(G50,1)="B"),"◎","")</f>
        <v/>
      </c>
      <c r="O50" s="19"/>
      <c r="P50" s="19"/>
      <c r="Q50" s="19"/>
      <c r="R50" s="19"/>
      <c r="S50" s="19"/>
      <c r="T50" s="19"/>
      <c r="U50" s="19"/>
      <c r="V50" s="19"/>
      <c r="W50" s="15" t="str">
        <f aca="false">IF((N(Q50)+N(R50)+N(S50)+N(T50)+N(U50)+N(V50))=0,"",IF(AND((N(Q50)+N(R50)+N(T50))&gt;=2,(N(Q50)+N(R50)+N(S50)+N(T50)+N(U50)+N(V50))&gt;=4),"高",IF(AND((N(Q50)+N(R50)+N(T50))&gt;=1,(N(Q50)+N(R50)+N(S50)+N(T50)+N(U50)+N(V50))=3),"中","低")))</f>
        <v/>
      </c>
      <c r="X50" s="15" t="str">
        <f aca="false">IF(L50="中位60%",IF(W50="高",3,IF(W50="中",2,IF(W50="低",1,0)))+IF(M50="◎",1,0)+IF(N50="◎",1,0)+IF(O50="○",1,0)+IF(P50="○",1,0),"")</f>
        <v/>
      </c>
      <c r="Y50" s="20"/>
      <c r="Z50" s="18"/>
      <c r="AA50" s="20"/>
      <c r="AB50" s="20"/>
    </row>
    <row r="51" customFormat="false" ht="15" hidden="false" customHeight="false" outlineLevel="0" collapsed="false">
      <c r="A51" s="13" t="s">
        <v>176</v>
      </c>
      <c r="B51" s="14" t="s">
        <v>177</v>
      </c>
      <c r="C51" s="15" t="s">
        <v>61</v>
      </c>
      <c r="D51" s="15" t="n">
        <v>4</v>
      </c>
      <c r="E51" s="14" t="s">
        <v>117</v>
      </c>
      <c r="F51" s="15" t="s">
        <v>80</v>
      </c>
      <c r="G51" s="16" t="s">
        <v>64</v>
      </c>
      <c r="H51" s="17" t="n">
        <v>1</v>
      </c>
      <c r="I51" s="18"/>
      <c r="J51" s="15" t="n">
        <f aca="false">IF(AND(H51=1,N(I51)&gt;0),1,0)</f>
        <v>0</v>
      </c>
      <c r="K51" s="15" t="str">
        <f aca="false">IF(J51=1,SUMPRODUCT(($J$5:$J$312=1)*(N($I$5:$I$312)&gt;N(I51)))+1,"")</f>
        <v/>
      </c>
      <c r="L51" s="15" t="str">
        <f aca="false">IF(J51&lt;&gt;1,"",IF(K51&lt;=ROUND(SUM($J$5:$J$312)*0.2,0),"上位20%",IF(K51&lt;=ROUND(SUM($J$5:$J$312)*0.8,0),"中位60%","下位20%")))</f>
        <v/>
      </c>
      <c r="M51" s="15" t="str">
        <f aca="false">IF(F51="あり","◎","")</f>
        <v/>
      </c>
      <c r="N51" s="15" t="str">
        <f aca="false">IF(OR(LEFT(G51,1)="A",LEFT(G51,1)="B"),"◎","")</f>
        <v/>
      </c>
      <c r="O51" s="19"/>
      <c r="P51" s="19"/>
      <c r="Q51" s="19"/>
      <c r="R51" s="19"/>
      <c r="S51" s="19"/>
      <c r="T51" s="19"/>
      <c r="U51" s="19"/>
      <c r="V51" s="19"/>
      <c r="W51" s="15" t="str">
        <f aca="false">IF((N(Q51)+N(R51)+N(S51)+N(T51)+N(U51)+N(V51))=0,"",IF(AND((N(Q51)+N(R51)+N(T51))&gt;=2,(N(Q51)+N(R51)+N(S51)+N(T51)+N(U51)+N(V51))&gt;=4),"高",IF(AND((N(Q51)+N(R51)+N(T51))&gt;=1,(N(Q51)+N(R51)+N(S51)+N(T51)+N(U51)+N(V51))=3),"中","低")))</f>
        <v/>
      </c>
      <c r="X51" s="15" t="str">
        <f aca="false">IF(L51="中位60%",IF(W51="高",3,IF(W51="中",2,IF(W51="低",1,0)))+IF(M51="◎",1,0)+IF(N51="◎",1,0)+IF(O51="○",1,0)+IF(P51="○",1,0),"")</f>
        <v/>
      </c>
      <c r="Y51" s="20"/>
      <c r="Z51" s="18"/>
      <c r="AA51" s="20"/>
      <c r="AB51" s="20"/>
    </row>
    <row r="52" customFormat="false" ht="15" hidden="false" customHeight="false" outlineLevel="0" collapsed="false">
      <c r="A52" s="13" t="s">
        <v>178</v>
      </c>
      <c r="B52" s="14" t="s">
        <v>179</v>
      </c>
      <c r="C52" s="15" t="s">
        <v>61</v>
      </c>
      <c r="D52" s="15" t="n">
        <v>4</v>
      </c>
      <c r="E52" s="14" t="s">
        <v>75</v>
      </c>
      <c r="F52" s="15" t="s">
        <v>63</v>
      </c>
      <c r="G52" s="16" t="s">
        <v>64</v>
      </c>
      <c r="H52" s="17" t="n">
        <v>1</v>
      </c>
      <c r="I52" s="18"/>
      <c r="J52" s="15" t="n">
        <f aca="false">IF(AND(H52=1,N(I52)&gt;0),1,0)</f>
        <v>0</v>
      </c>
      <c r="K52" s="15" t="str">
        <f aca="false">IF(J52=1,SUMPRODUCT(($J$5:$J$312=1)*(N($I$5:$I$312)&gt;N(I52)))+1,"")</f>
        <v/>
      </c>
      <c r="L52" s="15" t="str">
        <f aca="false">IF(J52&lt;&gt;1,"",IF(K52&lt;=ROUND(SUM($J$5:$J$312)*0.2,0),"上位20%",IF(K52&lt;=ROUND(SUM($J$5:$J$312)*0.8,0),"中位60%","下位20%")))</f>
        <v/>
      </c>
      <c r="M52" s="15" t="str">
        <f aca="false">IF(F52="あり","◎","")</f>
        <v>◎</v>
      </c>
      <c r="N52" s="15" t="str">
        <f aca="false">IF(OR(LEFT(G52,1)="A",LEFT(G52,1)="B"),"◎","")</f>
        <v/>
      </c>
      <c r="O52" s="19"/>
      <c r="P52" s="19"/>
      <c r="Q52" s="19"/>
      <c r="R52" s="19"/>
      <c r="S52" s="19"/>
      <c r="T52" s="19"/>
      <c r="U52" s="19"/>
      <c r="V52" s="19"/>
      <c r="W52" s="15" t="str">
        <f aca="false">IF((N(Q52)+N(R52)+N(S52)+N(T52)+N(U52)+N(V52))=0,"",IF(AND((N(Q52)+N(R52)+N(T52))&gt;=2,(N(Q52)+N(R52)+N(S52)+N(T52)+N(U52)+N(V52))&gt;=4),"高",IF(AND((N(Q52)+N(R52)+N(T52))&gt;=1,(N(Q52)+N(R52)+N(S52)+N(T52)+N(U52)+N(V52))=3),"中","低")))</f>
        <v/>
      </c>
      <c r="X52" s="15" t="str">
        <f aca="false">IF(L52="中位60%",IF(W52="高",3,IF(W52="中",2,IF(W52="低",1,0)))+IF(M52="◎",1,0)+IF(N52="◎",1,0)+IF(O52="○",1,0)+IF(P52="○",1,0),"")</f>
        <v/>
      </c>
      <c r="Y52" s="20"/>
      <c r="Z52" s="18"/>
      <c r="AA52" s="20"/>
      <c r="AB52" s="20"/>
    </row>
    <row r="53" customFormat="false" ht="15" hidden="false" customHeight="false" outlineLevel="0" collapsed="false">
      <c r="A53" s="13" t="s">
        <v>180</v>
      </c>
      <c r="B53" s="14" t="s">
        <v>181</v>
      </c>
      <c r="C53" s="15" t="s">
        <v>61</v>
      </c>
      <c r="D53" s="15" t="n">
        <v>4</v>
      </c>
      <c r="E53" s="14" t="s">
        <v>101</v>
      </c>
      <c r="F53" s="15" t="s">
        <v>63</v>
      </c>
      <c r="G53" s="16" t="s">
        <v>88</v>
      </c>
      <c r="H53" s="17" t="n">
        <v>1</v>
      </c>
      <c r="I53" s="18"/>
      <c r="J53" s="15" t="n">
        <f aca="false">IF(AND(H53=1,N(I53)&gt;0),1,0)</f>
        <v>0</v>
      </c>
      <c r="K53" s="15" t="str">
        <f aca="false">IF(J53=1,SUMPRODUCT(($J$5:$J$312=1)*(N($I$5:$I$312)&gt;N(I53)))+1,"")</f>
        <v/>
      </c>
      <c r="L53" s="15" t="str">
        <f aca="false">IF(J53&lt;&gt;1,"",IF(K53&lt;=ROUND(SUM($J$5:$J$312)*0.2,0),"上位20%",IF(K53&lt;=ROUND(SUM($J$5:$J$312)*0.8,0),"中位60%","下位20%")))</f>
        <v/>
      </c>
      <c r="M53" s="15" t="str">
        <f aca="false">IF(F53="あり","◎","")</f>
        <v>◎</v>
      </c>
      <c r="N53" s="15" t="str">
        <f aca="false">IF(OR(LEFT(G53,1)="A",LEFT(G53,1)="B"),"◎","")</f>
        <v/>
      </c>
      <c r="O53" s="19"/>
      <c r="P53" s="19"/>
      <c r="Q53" s="19"/>
      <c r="R53" s="19"/>
      <c r="S53" s="19"/>
      <c r="T53" s="19"/>
      <c r="U53" s="19"/>
      <c r="V53" s="19"/>
      <c r="W53" s="15" t="str">
        <f aca="false">IF((N(Q53)+N(R53)+N(S53)+N(T53)+N(U53)+N(V53))=0,"",IF(AND((N(Q53)+N(R53)+N(T53))&gt;=2,(N(Q53)+N(R53)+N(S53)+N(T53)+N(U53)+N(V53))&gt;=4),"高",IF(AND((N(Q53)+N(R53)+N(T53))&gt;=1,(N(Q53)+N(R53)+N(S53)+N(T53)+N(U53)+N(V53))=3),"中","低")))</f>
        <v/>
      </c>
      <c r="X53" s="15" t="str">
        <f aca="false">IF(L53="中位60%",IF(W53="高",3,IF(W53="中",2,IF(W53="低",1,0)))+IF(M53="◎",1,0)+IF(N53="◎",1,0)+IF(O53="○",1,0)+IF(P53="○",1,0),"")</f>
        <v/>
      </c>
      <c r="Y53" s="20"/>
      <c r="Z53" s="18"/>
      <c r="AA53" s="20"/>
      <c r="AB53" s="20"/>
    </row>
    <row r="54" customFormat="false" ht="15" hidden="false" customHeight="false" outlineLevel="0" collapsed="false">
      <c r="A54" s="13" t="s">
        <v>182</v>
      </c>
      <c r="B54" s="14" t="s">
        <v>183</v>
      </c>
      <c r="C54" s="15" t="s">
        <v>61</v>
      </c>
      <c r="D54" s="15" t="n">
        <v>4</v>
      </c>
      <c r="E54" s="14" t="s">
        <v>62</v>
      </c>
      <c r="F54" s="15" t="s">
        <v>80</v>
      </c>
      <c r="G54" s="16" t="s">
        <v>88</v>
      </c>
      <c r="H54" s="17" t="n">
        <v>1</v>
      </c>
      <c r="I54" s="18"/>
      <c r="J54" s="15" t="n">
        <f aca="false">IF(AND(H54=1,N(I54)&gt;0),1,0)</f>
        <v>0</v>
      </c>
      <c r="K54" s="15" t="str">
        <f aca="false">IF(J54=1,SUMPRODUCT(($J$5:$J$312=1)*(N($I$5:$I$312)&gt;N(I54)))+1,"")</f>
        <v/>
      </c>
      <c r="L54" s="15" t="str">
        <f aca="false">IF(J54&lt;&gt;1,"",IF(K54&lt;=ROUND(SUM($J$5:$J$312)*0.2,0),"上位20%",IF(K54&lt;=ROUND(SUM($J$5:$J$312)*0.8,0),"中位60%","下位20%")))</f>
        <v/>
      </c>
      <c r="M54" s="15" t="str">
        <f aca="false">IF(F54="あり","◎","")</f>
        <v/>
      </c>
      <c r="N54" s="15" t="str">
        <f aca="false">IF(OR(LEFT(G54,1)="A",LEFT(G54,1)="B"),"◎","")</f>
        <v/>
      </c>
      <c r="O54" s="19"/>
      <c r="P54" s="19"/>
      <c r="Q54" s="19"/>
      <c r="R54" s="19"/>
      <c r="S54" s="19"/>
      <c r="T54" s="19"/>
      <c r="U54" s="19"/>
      <c r="V54" s="19"/>
      <c r="W54" s="15" t="str">
        <f aca="false">IF((N(Q54)+N(R54)+N(S54)+N(T54)+N(U54)+N(V54))=0,"",IF(AND((N(Q54)+N(R54)+N(T54))&gt;=2,(N(Q54)+N(R54)+N(S54)+N(T54)+N(U54)+N(V54))&gt;=4),"高",IF(AND((N(Q54)+N(R54)+N(T54))&gt;=1,(N(Q54)+N(R54)+N(S54)+N(T54)+N(U54)+N(V54))=3),"中","低")))</f>
        <v/>
      </c>
      <c r="X54" s="15" t="str">
        <f aca="false">IF(L54="中位60%",IF(W54="高",3,IF(W54="中",2,IF(W54="低",1,0)))+IF(M54="◎",1,0)+IF(N54="◎",1,0)+IF(O54="○",1,0)+IF(P54="○",1,0),"")</f>
        <v/>
      </c>
      <c r="Y54" s="20"/>
      <c r="Z54" s="18"/>
      <c r="AA54" s="20"/>
      <c r="AB54" s="20"/>
    </row>
    <row r="55" customFormat="false" ht="15" hidden="false" customHeight="false" outlineLevel="0" collapsed="false">
      <c r="A55" s="13" t="s">
        <v>184</v>
      </c>
      <c r="B55" s="14" t="s">
        <v>185</v>
      </c>
      <c r="C55" s="15" t="s">
        <v>61</v>
      </c>
      <c r="D55" s="15" t="n">
        <v>5</v>
      </c>
      <c r="E55" s="14" t="s">
        <v>75</v>
      </c>
      <c r="F55" s="15" t="s">
        <v>80</v>
      </c>
      <c r="G55" s="16" t="s">
        <v>88</v>
      </c>
      <c r="H55" s="17" t="n">
        <v>1</v>
      </c>
      <c r="I55" s="18"/>
      <c r="J55" s="15" t="n">
        <f aca="false">IF(AND(H55=1,N(I55)&gt;0),1,0)</f>
        <v>0</v>
      </c>
      <c r="K55" s="15" t="str">
        <f aca="false">IF(J55=1,SUMPRODUCT(($J$5:$J$312=1)*(N($I$5:$I$312)&gt;N(I55)))+1,"")</f>
        <v/>
      </c>
      <c r="L55" s="15" t="str">
        <f aca="false">IF(J55&lt;&gt;1,"",IF(K55&lt;=ROUND(SUM($J$5:$J$312)*0.2,0),"上位20%",IF(K55&lt;=ROUND(SUM($J$5:$J$312)*0.8,0),"中位60%","下位20%")))</f>
        <v/>
      </c>
      <c r="M55" s="15" t="str">
        <f aca="false">IF(F55="あり","◎","")</f>
        <v/>
      </c>
      <c r="N55" s="15" t="str">
        <f aca="false">IF(OR(LEFT(G55,1)="A",LEFT(G55,1)="B"),"◎","")</f>
        <v/>
      </c>
      <c r="O55" s="19"/>
      <c r="P55" s="19"/>
      <c r="Q55" s="19"/>
      <c r="R55" s="19"/>
      <c r="S55" s="19"/>
      <c r="T55" s="19"/>
      <c r="U55" s="19"/>
      <c r="V55" s="19"/>
      <c r="W55" s="15" t="str">
        <f aca="false">IF((N(Q55)+N(R55)+N(S55)+N(T55)+N(U55)+N(V55))=0,"",IF(AND((N(Q55)+N(R55)+N(T55))&gt;=2,(N(Q55)+N(R55)+N(S55)+N(T55)+N(U55)+N(V55))&gt;=4),"高",IF(AND((N(Q55)+N(R55)+N(T55))&gt;=1,(N(Q55)+N(R55)+N(S55)+N(T55)+N(U55)+N(V55))=3),"中","低")))</f>
        <v/>
      </c>
      <c r="X55" s="15" t="str">
        <f aca="false">IF(L55="中位60%",IF(W55="高",3,IF(W55="中",2,IF(W55="低",1,0)))+IF(M55="◎",1,0)+IF(N55="◎",1,0)+IF(O55="○",1,0)+IF(P55="○",1,0),"")</f>
        <v/>
      </c>
      <c r="Y55" s="20"/>
      <c r="Z55" s="18"/>
      <c r="AA55" s="20"/>
      <c r="AB55" s="20"/>
    </row>
    <row r="56" customFormat="false" ht="15" hidden="false" customHeight="false" outlineLevel="0" collapsed="false">
      <c r="A56" s="13" t="s">
        <v>186</v>
      </c>
      <c r="B56" s="14" t="s">
        <v>187</v>
      </c>
      <c r="C56" s="15" t="s">
        <v>61</v>
      </c>
      <c r="D56" s="15" t="n">
        <v>4</v>
      </c>
      <c r="E56" s="14" t="s">
        <v>117</v>
      </c>
      <c r="F56" s="15" t="s">
        <v>63</v>
      </c>
      <c r="G56" s="14"/>
      <c r="H56" s="17" t="n">
        <v>1</v>
      </c>
      <c r="I56" s="18"/>
      <c r="J56" s="15" t="n">
        <f aca="false">IF(AND(H56=1,N(I56)&gt;0),1,0)</f>
        <v>0</v>
      </c>
      <c r="K56" s="15" t="str">
        <f aca="false">IF(J56=1,SUMPRODUCT(($J$5:$J$312=1)*(N($I$5:$I$312)&gt;N(I56)))+1,"")</f>
        <v/>
      </c>
      <c r="L56" s="15" t="str">
        <f aca="false">IF(J56&lt;&gt;1,"",IF(K56&lt;=ROUND(SUM($J$5:$J$312)*0.2,0),"上位20%",IF(K56&lt;=ROUND(SUM($J$5:$J$312)*0.8,0),"中位60%","下位20%")))</f>
        <v/>
      </c>
      <c r="M56" s="15" t="str">
        <f aca="false">IF(F56="あり","◎","")</f>
        <v>◎</v>
      </c>
      <c r="N56" s="15" t="str">
        <f aca="false">IF(OR(LEFT(G56,1)="A",LEFT(G56,1)="B"),"◎","")</f>
        <v/>
      </c>
      <c r="O56" s="19"/>
      <c r="P56" s="19"/>
      <c r="Q56" s="19"/>
      <c r="R56" s="19"/>
      <c r="S56" s="19"/>
      <c r="T56" s="19"/>
      <c r="U56" s="19"/>
      <c r="V56" s="19"/>
      <c r="W56" s="15" t="str">
        <f aca="false">IF((N(Q56)+N(R56)+N(S56)+N(T56)+N(U56)+N(V56))=0,"",IF(AND((N(Q56)+N(R56)+N(T56))&gt;=2,(N(Q56)+N(R56)+N(S56)+N(T56)+N(U56)+N(V56))&gt;=4),"高",IF(AND((N(Q56)+N(R56)+N(T56))&gt;=1,(N(Q56)+N(R56)+N(S56)+N(T56)+N(U56)+N(V56))=3),"中","低")))</f>
        <v/>
      </c>
      <c r="X56" s="15" t="str">
        <f aca="false">IF(L56="中位60%",IF(W56="高",3,IF(W56="中",2,IF(W56="低",1,0)))+IF(M56="◎",1,0)+IF(N56="◎",1,0)+IF(O56="○",1,0)+IF(P56="○",1,0),"")</f>
        <v/>
      </c>
      <c r="Y56" s="20"/>
      <c r="Z56" s="18"/>
      <c r="AA56" s="20"/>
      <c r="AB56" s="20"/>
    </row>
    <row r="57" customFormat="false" ht="15" hidden="false" customHeight="false" outlineLevel="0" collapsed="false">
      <c r="A57" s="13" t="s">
        <v>188</v>
      </c>
      <c r="B57" s="14" t="s">
        <v>189</v>
      </c>
      <c r="C57" s="15" t="s">
        <v>61</v>
      </c>
      <c r="D57" s="15" t="n">
        <v>4</v>
      </c>
      <c r="E57" s="14" t="s">
        <v>94</v>
      </c>
      <c r="F57" s="15" t="s">
        <v>63</v>
      </c>
      <c r="G57" s="16" t="s">
        <v>76</v>
      </c>
      <c r="H57" s="17" t="n">
        <v>1</v>
      </c>
      <c r="I57" s="18"/>
      <c r="J57" s="15" t="n">
        <f aca="false">IF(AND(H57=1,N(I57)&gt;0),1,0)</f>
        <v>0</v>
      </c>
      <c r="K57" s="15" t="str">
        <f aca="false">IF(J57=1,SUMPRODUCT(($J$5:$J$312=1)*(N($I$5:$I$312)&gt;N(I57)))+1,"")</f>
        <v/>
      </c>
      <c r="L57" s="15" t="str">
        <f aca="false">IF(J57&lt;&gt;1,"",IF(K57&lt;=ROUND(SUM($J$5:$J$312)*0.2,0),"上位20%",IF(K57&lt;=ROUND(SUM($J$5:$J$312)*0.8,0),"中位60%","下位20%")))</f>
        <v/>
      </c>
      <c r="M57" s="15" t="str">
        <f aca="false">IF(F57="あり","◎","")</f>
        <v>◎</v>
      </c>
      <c r="N57" s="15" t="str">
        <f aca="false">IF(OR(LEFT(G57,1)="A",LEFT(G57,1)="B"),"◎","")</f>
        <v>◎</v>
      </c>
      <c r="O57" s="19"/>
      <c r="P57" s="19"/>
      <c r="Q57" s="19"/>
      <c r="R57" s="19"/>
      <c r="S57" s="19"/>
      <c r="T57" s="19"/>
      <c r="U57" s="19"/>
      <c r="V57" s="19"/>
      <c r="W57" s="15" t="str">
        <f aca="false">IF((N(Q57)+N(R57)+N(S57)+N(T57)+N(U57)+N(V57))=0,"",IF(AND((N(Q57)+N(R57)+N(T57))&gt;=2,(N(Q57)+N(R57)+N(S57)+N(T57)+N(U57)+N(V57))&gt;=4),"高",IF(AND((N(Q57)+N(R57)+N(T57))&gt;=1,(N(Q57)+N(R57)+N(S57)+N(T57)+N(U57)+N(V57))=3),"中","低")))</f>
        <v/>
      </c>
      <c r="X57" s="15" t="str">
        <f aca="false">IF(L57="中位60%",IF(W57="高",3,IF(W57="中",2,IF(W57="低",1,0)))+IF(M57="◎",1,0)+IF(N57="◎",1,0)+IF(O57="○",1,0)+IF(P57="○",1,0),"")</f>
        <v/>
      </c>
      <c r="Y57" s="20"/>
      <c r="Z57" s="18"/>
      <c r="AA57" s="20"/>
      <c r="AB57" s="20"/>
    </row>
    <row r="58" customFormat="false" ht="15" hidden="false" customHeight="false" outlineLevel="0" collapsed="false">
      <c r="A58" s="13" t="s">
        <v>190</v>
      </c>
      <c r="B58" s="14" t="s">
        <v>191</v>
      </c>
      <c r="C58" s="15" t="s">
        <v>61</v>
      </c>
      <c r="D58" s="15" t="n">
        <v>4</v>
      </c>
      <c r="E58" s="14" t="s">
        <v>75</v>
      </c>
      <c r="F58" s="15" t="s">
        <v>63</v>
      </c>
      <c r="G58" s="14"/>
      <c r="H58" s="17" t="n">
        <v>1</v>
      </c>
      <c r="I58" s="18"/>
      <c r="J58" s="15" t="n">
        <f aca="false">IF(AND(H58=1,N(I58)&gt;0),1,0)</f>
        <v>0</v>
      </c>
      <c r="K58" s="15" t="str">
        <f aca="false">IF(J58=1,SUMPRODUCT(($J$5:$J$312=1)*(N($I$5:$I$312)&gt;N(I58)))+1,"")</f>
        <v/>
      </c>
      <c r="L58" s="15" t="str">
        <f aca="false">IF(J58&lt;&gt;1,"",IF(K58&lt;=ROUND(SUM($J$5:$J$312)*0.2,0),"上位20%",IF(K58&lt;=ROUND(SUM($J$5:$J$312)*0.8,0),"中位60%","下位20%")))</f>
        <v/>
      </c>
      <c r="M58" s="15" t="str">
        <f aca="false">IF(F58="あり","◎","")</f>
        <v>◎</v>
      </c>
      <c r="N58" s="15" t="str">
        <f aca="false">IF(OR(LEFT(G58,1)="A",LEFT(G58,1)="B"),"◎","")</f>
        <v/>
      </c>
      <c r="O58" s="19"/>
      <c r="P58" s="19"/>
      <c r="Q58" s="19"/>
      <c r="R58" s="19"/>
      <c r="S58" s="19"/>
      <c r="T58" s="19"/>
      <c r="U58" s="19"/>
      <c r="V58" s="19"/>
      <c r="W58" s="15" t="str">
        <f aca="false">IF((N(Q58)+N(R58)+N(S58)+N(T58)+N(U58)+N(V58))=0,"",IF(AND((N(Q58)+N(R58)+N(T58))&gt;=2,(N(Q58)+N(R58)+N(S58)+N(T58)+N(U58)+N(V58))&gt;=4),"高",IF(AND((N(Q58)+N(R58)+N(T58))&gt;=1,(N(Q58)+N(R58)+N(S58)+N(T58)+N(U58)+N(V58))=3),"中","低")))</f>
        <v/>
      </c>
      <c r="X58" s="15" t="str">
        <f aca="false">IF(L58="中位60%",IF(W58="高",3,IF(W58="中",2,IF(W58="低",1,0)))+IF(M58="◎",1,0)+IF(N58="◎",1,0)+IF(O58="○",1,0)+IF(P58="○",1,0),"")</f>
        <v/>
      </c>
      <c r="Y58" s="20"/>
      <c r="Z58" s="18"/>
      <c r="AA58" s="20"/>
      <c r="AB58" s="20"/>
    </row>
    <row r="59" customFormat="false" ht="15" hidden="false" customHeight="false" outlineLevel="0" collapsed="false">
      <c r="A59" s="13" t="s">
        <v>192</v>
      </c>
      <c r="B59" s="14" t="s">
        <v>193</v>
      </c>
      <c r="C59" s="15" t="s">
        <v>61</v>
      </c>
      <c r="D59" s="15" t="n">
        <v>5</v>
      </c>
      <c r="E59" s="14" t="s">
        <v>62</v>
      </c>
      <c r="F59" s="15" t="s">
        <v>80</v>
      </c>
      <c r="G59" s="16" t="s">
        <v>88</v>
      </c>
      <c r="H59" s="17" t="n">
        <v>1</v>
      </c>
      <c r="I59" s="18"/>
      <c r="J59" s="15" t="n">
        <f aca="false">IF(AND(H59=1,N(I59)&gt;0),1,0)</f>
        <v>0</v>
      </c>
      <c r="K59" s="15" t="str">
        <f aca="false">IF(J59=1,SUMPRODUCT(($J$5:$J$312=1)*(N($I$5:$I$312)&gt;N(I59)))+1,"")</f>
        <v/>
      </c>
      <c r="L59" s="15" t="str">
        <f aca="false">IF(J59&lt;&gt;1,"",IF(K59&lt;=ROUND(SUM($J$5:$J$312)*0.2,0),"上位20%",IF(K59&lt;=ROUND(SUM($J$5:$J$312)*0.8,0),"中位60%","下位20%")))</f>
        <v/>
      </c>
      <c r="M59" s="15" t="str">
        <f aca="false">IF(F59="あり","◎","")</f>
        <v/>
      </c>
      <c r="N59" s="15" t="str">
        <f aca="false">IF(OR(LEFT(G59,1)="A",LEFT(G59,1)="B"),"◎","")</f>
        <v/>
      </c>
      <c r="O59" s="19"/>
      <c r="P59" s="19"/>
      <c r="Q59" s="19"/>
      <c r="R59" s="19"/>
      <c r="S59" s="19"/>
      <c r="T59" s="19"/>
      <c r="U59" s="19"/>
      <c r="V59" s="19"/>
      <c r="W59" s="15" t="str">
        <f aca="false">IF((N(Q59)+N(R59)+N(S59)+N(T59)+N(U59)+N(V59))=0,"",IF(AND((N(Q59)+N(R59)+N(T59))&gt;=2,(N(Q59)+N(R59)+N(S59)+N(T59)+N(U59)+N(V59))&gt;=4),"高",IF(AND((N(Q59)+N(R59)+N(T59))&gt;=1,(N(Q59)+N(R59)+N(S59)+N(T59)+N(U59)+N(V59))=3),"中","低")))</f>
        <v/>
      </c>
      <c r="X59" s="15" t="str">
        <f aca="false">IF(L59="中位60%",IF(W59="高",3,IF(W59="中",2,IF(W59="低",1,0)))+IF(M59="◎",1,0)+IF(N59="◎",1,0)+IF(O59="○",1,0)+IF(P59="○",1,0),"")</f>
        <v/>
      </c>
      <c r="Y59" s="20"/>
      <c r="Z59" s="18"/>
      <c r="AA59" s="20"/>
      <c r="AB59" s="20"/>
    </row>
    <row r="60" customFormat="false" ht="15" hidden="false" customHeight="false" outlineLevel="0" collapsed="false">
      <c r="A60" s="13" t="s">
        <v>194</v>
      </c>
      <c r="B60" s="14" t="s">
        <v>195</v>
      </c>
      <c r="C60" s="15" t="s">
        <v>61</v>
      </c>
      <c r="D60" s="15" t="n">
        <v>5</v>
      </c>
      <c r="E60" s="14" t="s">
        <v>117</v>
      </c>
      <c r="F60" s="15" t="s">
        <v>63</v>
      </c>
      <c r="G60" s="16" t="s">
        <v>88</v>
      </c>
      <c r="H60" s="17" t="n">
        <v>1</v>
      </c>
      <c r="I60" s="18"/>
      <c r="J60" s="15" t="n">
        <f aca="false">IF(AND(H60=1,N(I60)&gt;0),1,0)</f>
        <v>0</v>
      </c>
      <c r="K60" s="15" t="str">
        <f aca="false">IF(J60=1,SUMPRODUCT(($J$5:$J$312=1)*(N($I$5:$I$312)&gt;N(I60)))+1,"")</f>
        <v/>
      </c>
      <c r="L60" s="15" t="str">
        <f aca="false">IF(J60&lt;&gt;1,"",IF(K60&lt;=ROUND(SUM($J$5:$J$312)*0.2,0),"上位20%",IF(K60&lt;=ROUND(SUM($J$5:$J$312)*0.8,0),"中位60%","下位20%")))</f>
        <v/>
      </c>
      <c r="M60" s="15" t="str">
        <f aca="false">IF(F60="あり","◎","")</f>
        <v>◎</v>
      </c>
      <c r="N60" s="15" t="str">
        <f aca="false">IF(OR(LEFT(G60,1)="A",LEFT(G60,1)="B"),"◎","")</f>
        <v/>
      </c>
      <c r="O60" s="19"/>
      <c r="P60" s="19"/>
      <c r="Q60" s="19"/>
      <c r="R60" s="19"/>
      <c r="S60" s="19"/>
      <c r="T60" s="19"/>
      <c r="U60" s="19"/>
      <c r="V60" s="19"/>
      <c r="W60" s="15" t="str">
        <f aca="false">IF((N(Q60)+N(R60)+N(S60)+N(T60)+N(U60)+N(V60))=0,"",IF(AND((N(Q60)+N(R60)+N(T60))&gt;=2,(N(Q60)+N(R60)+N(S60)+N(T60)+N(U60)+N(V60))&gt;=4),"高",IF(AND((N(Q60)+N(R60)+N(T60))&gt;=1,(N(Q60)+N(R60)+N(S60)+N(T60)+N(U60)+N(V60))=3),"中","低")))</f>
        <v/>
      </c>
      <c r="X60" s="15" t="str">
        <f aca="false">IF(L60="中位60%",IF(W60="高",3,IF(W60="中",2,IF(W60="低",1,0)))+IF(M60="◎",1,0)+IF(N60="◎",1,0)+IF(O60="○",1,0)+IF(P60="○",1,0),"")</f>
        <v/>
      </c>
      <c r="Y60" s="20"/>
      <c r="Z60" s="18"/>
      <c r="AA60" s="20"/>
      <c r="AB60" s="20"/>
    </row>
    <row r="61" customFormat="false" ht="15" hidden="false" customHeight="false" outlineLevel="0" collapsed="false">
      <c r="A61" s="13" t="s">
        <v>196</v>
      </c>
      <c r="B61" s="14" t="s">
        <v>197</v>
      </c>
      <c r="C61" s="15" t="s">
        <v>61</v>
      </c>
      <c r="D61" s="15" t="n">
        <v>5</v>
      </c>
      <c r="E61" s="14" t="s">
        <v>83</v>
      </c>
      <c r="F61" s="15" t="s">
        <v>63</v>
      </c>
      <c r="G61" s="16" t="s">
        <v>110</v>
      </c>
      <c r="H61" s="17" t="n">
        <v>1</v>
      </c>
      <c r="I61" s="18"/>
      <c r="J61" s="15" t="n">
        <f aca="false">IF(AND(H61=1,N(I61)&gt;0),1,0)</f>
        <v>0</v>
      </c>
      <c r="K61" s="15" t="str">
        <f aca="false">IF(J61=1,SUMPRODUCT(($J$5:$J$312=1)*(N($I$5:$I$312)&gt;N(I61)))+1,"")</f>
        <v/>
      </c>
      <c r="L61" s="15" t="str">
        <f aca="false">IF(J61&lt;&gt;1,"",IF(K61&lt;=ROUND(SUM($J$5:$J$312)*0.2,0),"上位20%",IF(K61&lt;=ROUND(SUM($J$5:$J$312)*0.8,0),"中位60%","下位20%")))</f>
        <v/>
      </c>
      <c r="M61" s="15" t="str">
        <f aca="false">IF(F61="あり","◎","")</f>
        <v>◎</v>
      </c>
      <c r="N61" s="15" t="str">
        <f aca="false">IF(OR(LEFT(G61,1)="A",LEFT(G61,1)="B"),"◎","")</f>
        <v>◎</v>
      </c>
      <c r="O61" s="19"/>
      <c r="P61" s="19"/>
      <c r="Q61" s="19"/>
      <c r="R61" s="19"/>
      <c r="S61" s="19"/>
      <c r="T61" s="19"/>
      <c r="U61" s="19"/>
      <c r="V61" s="19"/>
      <c r="W61" s="15" t="str">
        <f aca="false">IF((N(Q61)+N(R61)+N(S61)+N(T61)+N(U61)+N(V61))=0,"",IF(AND((N(Q61)+N(R61)+N(T61))&gt;=2,(N(Q61)+N(R61)+N(S61)+N(T61)+N(U61)+N(V61))&gt;=4),"高",IF(AND((N(Q61)+N(R61)+N(T61))&gt;=1,(N(Q61)+N(R61)+N(S61)+N(T61)+N(U61)+N(V61))=3),"中","低")))</f>
        <v/>
      </c>
      <c r="X61" s="15" t="str">
        <f aca="false">IF(L61="中位60%",IF(W61="高",3,IF(W61="中",2,IF(W61="低",1,0)))+IF(M61="◎",1,0)+IF(N61="◎",1,0)+IF(O61="○",1,0)+IF(P61="○",1,0),"")</f>
        <v/>
      </c>
      <c r="Y61" s="20"/>
      <c r="Z61" s="18"/>
      <c r="AA61" s="20"/>
      <c r="AB61" s="20"/>
    </row>
    <row r="62" customFormat="false" ht="15" hidden="false" customHeight="false" outlineLevel="0" collapsed="false">
      <c r="A62" s="13" t="s">
        <v>198</v>
      </c>
      <c r="B62" s="14" t="s">
        <v>199</v>
      </c>
      <c r="C62" s="15" t="s">
        <v>61</v>
      </c>
      <c r="D62" s="15" t="n">
        <v>5</v>
      </c>
      <c r="E62" s="14" t="s">
        <v>94</v>
      </c>
      <c r="F62" s="15" t="s">
        <v>63</v>
      </c>
      <c r="G62" s="16" t="s">
        <v>110</v>
      </c>
      <c r="H62" s="17" t="n">
        <v>1</v>
      </c>
      <c r="I62" s="18"/>
      <c r="J62" s="15" t="n">
        <f aca="false">IF(AND(H62=1,N(I62)&gt;0),1,0)</f>
        <v>0</v>
      </c>
      <c r="K62" s="15" t="str">
        <f aca="false">IF(J62=1,SUMPRODUCT(($J$5:$J$312=1)*(N($I$5:$I$312)&gt;N(I62)))+1,"")</f>
        <v/>
      </c>
      <c r="L62" s="15" t="str">
        <f aca="false">IF(J62&lt;&gt;1,"",IF(K62&lt;=ROUND(SUM($J$5:$J$312)*0.2,0),"上位20%",IF(K62&lt;=ROUND(SUM($J$5:$J$312)*0.8,0),"中位60%","下位20%")))</f>
        <v/>
      </c>
      <c r="M62" s="15" t="str">
        <f aca="false">IF(F62="あり","◎","")</f>
        <v>◎</v>
      </c>
      <c r="N62" s="15" t="str">
        <f aca="false">IF(OR(LEFT(G62,1)="A",LEFT(G62,1)="B"),"◎","")</f>
        <v>◎</v>
      </c>
      <c r="O62" s="19"/>
      <c r="P62" s="19"/>
      <c r="Q62" s="19"/>
      <c r="R62" s="19"/>
      <c r="S62" s="19"/>
      <c r="T62" s="19"/>
      <c r="U62" s="19"/>
      <c r="V62" s="19"/>
      <c r="W62" s="15" t="str">
        <f aca="false">IF((N(Q62)+N(R62)+N(S62)+N(T62)+N(U62)+N(V62))=0,"",IF(AND((N(Q62)+N(R62)+N(T62))&gt;=2,(N(Q62)+N(R62)+N(S62)+N(T62)+N(U62)+N(V62))&gt;=4),"高",IF(AND((N(Q62)+N(R62)+N(T62))&gt;=1,(N(Q62)+N(R62)+N(S62)+N(T62)+N(U62)+N(V62))=3),"中","低")))</f>
        <v/>
      </c>
      <c r="X62" s="15" t="str">
        <f aca="false">IF(L62="中位60%",IF(W62="高",3,IF(W62="中",2,IF(W62="低",1,0)))+IF(M62="◎",1,0)+IF(N62="◎",1,0)+IF(O62="○",1,0)+IF(P62="○",1,0),"")</f>
        <v/>
      </c>
      <c r="Y62" s="20"/>
      <c r="Z62" s="18"/>
      <c r="AA62" s="20"/>
      <c r="AB62" s="20"/>
    </row>
    <row r="63" customFormat="false" ht="15" hidden="false" customHeight="false" outlineLevel="0" collapsed="false">
      <c r="A63" s="13" t="s">
        <v>200</v>
      </c>
      <c r="B63" s="14" t="s">
        <v>201</v>
      </c>
      <c r="C63" s="15" t="s">
        <v>61</v>
      </c>
      <c r="D63" s="15" t="n">
        <v>5</v>
      </c>
      <c r="E63" s="14" t="s">
        <v>79</v>
      </c>
      <c r="F63" s="15" t="s">
        <v>80</v>
      </c>
      <c r="G63" s="16" t="s">
        <v>88</v>
      </c>
      <c r="H63" s="17" t="n">
        <v>1</v>
      </c>
      <c r="I63" s="18"/>
      <c r="J63" s="15" t="n">
        <f aca="false">IF(AND(H63=1,N(I63)&gt;0),1,0)</f>
        <v>0</v>
      </c>
      <c r="K63" s="15" t="str">
        <f aca="false">IF(J63=1,SUMPRODUCT(($J$5:$J$312=1)*(N($I$5:$I$312)&gt;N(I63)))+1,"")</f>
        <v/>
      </c>
      <c r="L63" s="15" t="str">
        <f aca="false">IF(J63&lt;&gt;1,"",IF(K63&lt;=ROUND(SUM($J$5:$J$312)*0.2,0),"上位20%",IF(K63&lt;=ROUND(SUM($J$5:$J$312)*0.8,0),"中位60%","下位20%")))</f>
        <v/>
      </c>
      <c r="M63" s="15" t="str">
        <f aca="false">IF(F63="あり","◎","")</f>
        <v/>
      </c>
      <c r="N63" s="15" t="str">
        <f aca="false">IF(OR(LEFT(G63,1)="A",LEFT(G63,1)="B"),"◎","")</f>
        <v/>
      </c>
      <c r="O63" s="19"/>
      <c r="P63" s="19"/>
      <c r="Q63" s="19"/>
      <c r="R63" s="19"/>
      <c r="S63" s="19"/>
      <c r="T63" s="19"/>
      <c r="U63" s="19"/>
      <c r="V63" s="19"/>
      <c r="W63" s="15" t="str">
        <f aca="false">IF((N(Q63)+N(R63)+N(S63)+N(T63)+N(U63)+N(V63))=0,"",IF(AND((N(Q63)+N(R63)+N(T63))&gt;=2,(N(Q63)+N(R63)+N(S63)+N(T63)+N(U63)+N(V63))&gt;=4),"高",IF(AND((N(Q63)+N(R63)+N(T63))&gt;=1,(N(Q63)+N(R63)+N(S63)+N(T63)+N(U63)+N(V63))=3),"中","低")))</f>
        <v/>
      </c>
      <c r="X63" s="15" t="str">
        <f aca="false">IF(L63="中位60%",IF(W63="高",3,IF(W63="中",2,IF(W63="低",1,0)))+IF(M63="◎",1,0)+IF(N63="◎",1,0)+IF(O63="○",1,0)+IF(P63="○",1,0),"")</f>
        <v/>
      </c>
      <c r="Y63" s="20"/>
      <c r="Z63" s="18"/>
      <c r="AA63" s="20"/>
      <c r="AB63" s="20"/>
    </row>
    <row r="64" customFormat="false" ht="15" hidden="false" customHeight="false" outlineLevel="0" collapsed="false">
      <c r="A64" s="13" t="s">
        <v>202</v>
      </c>
      <c r="B64" s="14" t="s">
        <v>203</v>
      </c>
      <c r="C64" s="15" t="s">
        <v>61</v>
      </c>
      <c r="D64" s="15" t="n">
        <v>5</v>
      </c>
      <c r="E64" s="14" t="s">
        <v>101</v>
      </c>
      <c r="F64" s="15" t="s">
        <v>63</v>
      </c>
      <c r="G64" s="16" t="s">
        <v>64</v>
      </c>
      <c r="H64" s="17" t="n">
        <v>1</v>
      </c>
      <c r="I64" s="18"/>
      <c r="J64" s="15" t="n">
        <f aca="false">IF(AND(H64=1,N(I64)&gt;0),1,0)</f>
        <v>0</v>
      </c>
      <c r="K64" s="15" t="str">
        <f aca="false">IF(J64=1,SUMPRODUCT(($J$5:$J$312=1)*(N($I$5:$I$312)&gt;N(I64)))+1,"")</f>
        <v/>
      </c>
      <c r="L64" s="15" t="str">
        <f aca="false">IF(J64&lt;&gt;1,"",IF(K64&lt;=ROUND(SUM($J$5:$J$312)*0.2,0),"上位20%",IF(K64&lt;=ROUND(SUM($J$5:$J$312)*0.8,0),"中位60%","下位20%")))</f>
        <v/>
      </c>
      <c r="M64" s="15" t="str">
        <f aca="false">IF(F64="あり","◎","")</f>
        <v>◎</v>
      </c>
      <c r="N64" s="15" t="str">
        <f aca="false">IF(OR(LEFT(G64,1)="A",LEFT(G64,1)="B"),"◎","")</f>
        <v/>
      </c>
      <c r="O64" s="19"/>
      <c r="P64" s="19"/>
      <c r="Q64" s="19"/>
      <c r="R64" s="19"/>
      <c r="S64" s="19"/>
      <c r="T64" s="19"/>
      <c r="U64" s="19"/>
      <c r="V64" s="19"/>
      <c r="W64" s="15" t="str">
        <f aca="false">IF((N(Q64)+N(R64)+N(S64)+N(T64)+N(U64)+N(V64))=0,"",IF(AND((N(Q64)+N(R64)+N(T64))&gt;=2,(N(Q64)+N(R64)+N(S64)+N(T64)+N(U64)+N(V64))&gt;=4),"高",IF(AND((N(Q64)+N(R64)+N(T64))&gt;=1,(N(Q64)+N(R64)+N(S64)+N(T64)+N(U64)+N(V64))=3),"中","低")))</f>
        <v/>
      </c>
      <c r="X64" s="15" t="str">
        <f aca="false">IF(L64="中位60%",IF(W64="高",3,IF(W64="中",2,IF(W64="低",1,0)))+IF(M64="◎",1,0)+IF(N64="◎",1,0)+IF(O64="○",1,0)+IF(P64="○",1,0),"")</f>
        <v/>
      </c>
      <c r="Y64" s="20"/>
      <c r="Z64" s="18"/>
      <c r="AA64" s="20"/>
      <c r="AB64" s="20"/>
    </row>
    <row r="65" customFormat="false" ht="15" hidden="false" customHeight="false" outlineLevel="0" collapsed="false">
      <c r="A65" s="13" t="s">
        <v>204</v>
      </c>
      <c r="B65" s="14" t="s">
        <v>205</v>
      </c>
      <c r="C65" s="15" t="s">
        <v>61</v>
      </c>
      <c r="D65" s="15" t="n">
        <v>5</v>
      </c>
      <c r="E65" s="14" t="s">
        <v>91</v>
      </c>
      <c r="F65" s="15" t="s">
        <v>63</v>
      </c>
      <c r="G65" s="16" t="s">
        <v>64</v>
      </c>
      <c r="H65" s="17" t="n">
        <v>1</v>
      </c>
      <c r="I65" s="18"/>
      <c r="J65" s="15" t="n">
        <f aca="false">IF(AND(H65=1,N(I65)&gt;0),1,0)</f>
        <v>0</v>
      </c>
      <c r="K65" s="15" t="str">
        <f aca="false">IF(J65=1,SUMPRODUCT(($J$5:$J$312=1)*(N($I$5:$I$312)&gt;N(I65)))+1,"")</f>
        <v/>
      </c>
      <c r="L65" s="15" t="str">
        <f aca="false">IF(J65&lt;&gt;1,"",IF(K65&lt;=ROUND(SUM($J$5:$J$312)*0.2,0),"上位20%",IF(K65&lt;=ROUND(SUM($J$5:$J$312)*0.8,0),"中位60%","下位20%")))</f>
        <v/>
      </c>
      <c r="M65" s="15" t="str">
        <f aca="false">IF(F65="あり","◎","")</f>
        <v>◎</v>
      </c>
      <c r="N65" s="15" t="str">
        <f aca="false">IF(OR(LEFT(G65,1)="A",LEFT(G65,1)="B"),"◎","")</f>
        <v/>
      </c>
      <c r="O65" s="19"/>
      <c r="P65" s="19"/>
      <c r="Q65" s="19"/>
      <c r="R65" s="19"/>
      <c r="S65" s="19"/>
      <c r="T65" s="19"/>
      <c r="U65" s="19"/>
      <c r="V65" s="19"/>
      <c r="W65" s="15" t="str">
        <f aca="false">IF((N(Q65)+N(R65)+N(S65)+N(T65)+N(U65)+N(V65))=0,"",IF(AND((N(Q65)+N(R65)+N(T65))&gt;=2,(N(Q65)+N(R65)+N(S65)+N(T65)+N(U65)+N(V65))&gt;=4),"高",IF(AND((N(Q65)+N(R65)+N(T65))&gt;=1,(N(Q65)+N(R65)+N(S65)+N(T65)+N(U65)+N(V65))=3),"中","低")))</f>
        <v/>
      </c>
      <c r="X65" s="15" t="str">
        <f aca="false">IF(L65="中位60%",IF(W65="高",3,IF(W65="中",2,IF(W65="低",1,0)))+IF(M65="◎",1,0)+IF(N65="◎",1,0)+IF(O65="○",1,0)+IF(P65="○",1,0),"")</f>
        <v/>
      </c>
      <c r="Y65" s="20"/>
      <c r="Z65" s="18"/>
      <c r="AA65" s="20"/>
      <c r="AB65" s="20"/>
    </row>
    <row r="66" customFormat="false" ht="15" hidden="false" customHeight="false" outlineLevel="0" collapsed="false">
      <c r="A66" s="13" t="s">
        <v>206</v>
      </c>
      <c r="B66" s="14" t="s">
        <v>207</v>
      </c>
      <c r="C66" s="15" t="s">
        <v>61</v>
      </c>
      <c r="D66" s="15" t="n">
        <v>5</v>
      </c>
      <c r="E66" s="14" t="s">
        <v>75</v>
      </c>
      <c r="F66" s="15" t="s">
        <v>63</v>
      </c>
      <c r="G66" s="14"/>
      <c r="H66" s="17" t="n">
        <v>1</v>
      </c>
      <c r="I66" s="18"/>
      <c r="J66" s="15" t="n">
        <f aca="false">IF(AND(H66=1,N(I66)&gt;0),1,0)</f>
        <v>0</v>
      </c>
      <c r="K66" s="15" t="str">
        <f aca="false">IF(J66=1,SUMPRODUCT(($J$5:$J$312=1)*(N($I$5:$I$312)&gt;N(I66)))+1,"")</f>
        <v/>
      </c>
      <c r="L66" s="15" t="str">
        <f aca="false">IF(J66&lt;&gt;1,"",IF(K66&lt;=ROUND(SUM($J$5:$J$312)*0.2,0),"上位20%",IF(K66&lt;=ROUND(SUM($J$5:$J$312)*0.8,0),"中位60%","下位20%")))</f>
        <v/>
      </c>
      <c r="M66" s="15" t="str">
        <f aca="false">IF(F66="あり","◎","")</f>
        <v>◎</v>
      </c>
      <c r="N66" s="15" t="str">
        <f aca="false">IF(OR(LEFT(G66,1)="A",LEFT(G66,1)="B"),"◎","")</f>
        <v/>
      </c>
      <c r="O66" s="19"/>
      <c r="P66" s="19"/>
      <c r="Q66" s="19"/>
      <c r="R66" s="19"/>
      <c r="S66" s="19"/>
      <c r="T66" s="19"/>
      <c r="U66" s="19"/>
      <c r="V66" s="19"/>
      <c r="W66" s="15" t="str">
        <f aca="false">IF((N(Q66)+N(R66)+N(S66)+N(T66)+N(U66)+N(V66))=0,"",IF(AND((N(Q66)+N(R66)+N(T66))&gt;=2,(N(Q66)+N(R66)+N(S66)+N(T66)+N(U66)+N(V66))&gt;=4),"高",IF(AND((N(Q66)+N(R66)+N(T66))&gt;=1,(N(Q66)+N(R66)+N(S66)+N(T66)+N(U66)+N(V66))=3),"中","低")))</f>
        <v/>
      </c>
      <c r="X66" s="15" t="str">
        <f aca="false">IF(L66="中位60%",IF(W66="高",3,IF(W66="中",2,IF(W66="低",1,0)))+IF(M66="◎",1,0)+IF(N66="◎",1,0)+IF(O66="○",1,0)+IF(P66="○",1,0),"")</f>
        <v/>
      </c>
      <c r="Y66" s="20"/>
      <c r="Z66" s="18"/>
      <c r="AA66" s="20"/>
      <c r="AB66" s="20"/>
    </row>
    <row r="67" customFormat="false" ht="15" hidden="false" customHeight="false" outlineLevel="0" collapsed="false">
      <c r="A67" s="13" t="s">
        <v>208</v>
      </c>
      <c r="B67" s="14" t="s">
        <v>209</v>
      </c>
      <c r="C67" s="15" t="s">
        <v>61</v>
      </c>
      <c r="D67" s="15" t="n">
        <v>5</v>
      </c>
      <c r="E67" s="14" t="s">
        <v>83</v>
      </c>
      <c r="F67" s="15" t="s">
        <v>63</v>
      </c>
      <c r="G67" s="14"/>
      <c r="H67" s="17" t="n">
        <v>1</v>
      </c>
      <c r="I67" s="18"/>
      <c r="J67" s="15" t="n">
        <f aca="false">IF(AND(H67=1,N(I67)&gt;0),1,0)</f>
        <v>0</v>
      </c>
      <c r="K67" s="15" t="str">
        <f aca="false">IF(J67=1,SUMPRODUCT(($J$5:$J$312=1)*(N($I$5:$I$312)&gt;N(I67)))+1,"")</f>
        <v/>
      </c>
      <c r="L67" s="15" t="str">
        <f aca="false">IF(J67&lt;&gt;1,"",IF(K67&lt;=ROUND(SUM($J$5:$J$312)*0.2,0),"上位20%",IF(K67&lt;=ROUND(SUM($J$5:$J$312)*0.8,0),"中位60%","下位20%")))</f>
        <v/>
      </c>
      <c r="M67" s="15" t="str">
        <f aca="false">IF(F67="あり","◎","")</f>
        <v>◎</v>
      </c>
      <c r="N67" s="15" t="str">
        <f aca="false">IF(OR(LEFT(G67,1)="A",LEFT(G67,1)="B"),"◎","")</f>
        <v/>
      </c>
      <c r="O67" s="19"/>
      <c r="P67" s="19"/>
      <c r="Q67" s="19"/>
      <c r="R67" s="19"/>
      <c r="S67" s="19"/>
      <c r="T67" s="19"/>
      <c r="U67" s="19"/>
      <c r="V67" s="19"/>
      <c r="W67" s="15" t="str">
        <f aca="false">IF((N(Q67)+N(R67)+N(S67)+N(T67)+N(U67)+N(V67))=0,"",IF(AND((N(Q67)+N(R67)+N(T67))&gt;=2,(N(Q67)+N(R67)+N(S67)+N(T67)+N(U67)+N(V67))&gt;=4),"高",IF(AND((N(Q67)+N(R67)+N(T67))&gt;=1,(N(Q67)+N(R67)+N(S67)+N(T67)+N(U67)+N(V67))=3),"中","低")))</f>
        <v/>
      </c>
      <c r="X67" s="15" t="str">
        <f aca="false">IF(L67="中位60%",IF(W67="高",3,IF(W67="中",2,IF(W67="低",1,0)))+IF(M67="◎",1,0)+IF(N67="◎",1,0)+IF(O67="○",1,0)+IF(P67="○",1,0),"")</f>
        <v/>
      </c>
      <c r="Y67" s="20"/>
      <c r="Z67" s="18"/>
      <c r="AA67" s="20"/>
      <c r="AB67" s="20"/>
    </row>
    <row r="68" customFormat="false" ht="15" hidden="false" customHeight="false" outlineLevel="0" collapsed="false">
      <c r="A68" s="13" t="s">
        <v>210</v>
      </c>
      <c r="B68" s="14" t="s">
        <v>211</v>
      </c>
      <c r="C68" s="15" t="s">
        <v>61</v>
      </c>
      <c r="D68" s="15" t="n">
        <v>5</v>
      </c>
      <c r="E68" s="14" t="s">
        <v>79</v>
      </c>
      <c r="F68" s="15" t="s">
        <v>63</v>
      </c>
      <c r="G68" s="14"/>
      <c r="H68" s="17" t="n">
        <v>1</v>
      </c>
      <c r="I68" s="18"/>
      <c r="J68" s="15" t="n">
        <f aca="false">IF(AND(H68=1,N(I68)&gt;0),1,0)</f>
        <v>0</v>
      </c>
      <c r="K68" s="15" t="str">
        <f aca="false">IF(J68=1,SUMPRODUCT(($J$5:$J$312=1)*(N($I$5:$I$312)&gt;N(I68)))+1,"")</f>
        <v/>
      </c>
      <c r="L68" s="15" t="str">
        <f aca="false">IF(J68&lt;&gt;1,"",IF(K68&lt;=ROUND(SUM($J$5:$J$312)*0.2,0),"上位20%",IF(K68&lt;=ROUND(SUM($J$5:$J$312)*0.8,0),"中位60%","下位20%")))</f>
        <v/>
      </c>
      <c r="M68" s="15" t="str">
        <f aca="false">IF(F68="あり","◎","")</f>
        <v>◎</v>
      </c>
      <c r="N68" s="15" t="str">
        <f aca="false">IF(OR(LEFT(G68,1)="A",LEFT(G68,1)="B"),"◎","")</f>
        <v/>
      </c>
      <c r="O68" s="19"/>
      <c r="P68" s="19"/>
      <c r="Q68" s="19"/>
      <c r="R68" s="19"/>
      <c r="S68" s="19"/>
      <c r="T68" s="19"/>
      <c r="U68" s="19"/>
      <c r="V68" s="19"/>
      <c r="W68" s="15" t="str">
        <f aca="false">IF((N(Q68)+N(R68)+N(S68)+N(T68)+N(U68)+N(V68))=0,"",IF(AND((N(Q68)+N(R68)+N(T68))&gt;=2,(N(Q68)+N(R68)+N(S68)+N(T68)+N(U68)+N(V68))&gt;=4),"高",IF(AND((N(Q68)+N(R68)+N(T68))&gt;=1,(N(Q68)+N(R68)+N(S68)+N(T68)+N(U68)+N(V68))=3),"中","低")))</f>
        <v/>
      </c>
      <c r="X68" s="15" t="str">
        <f aca="false">IF(L68="中位60%",IF(W68="高",3,IF(W68="中",2,IF(W68="低",1,0)))+IF(M68="◎",1,0)+IF(N68="◎",1,0)+IF(O68="○",1,0)+IF(P68="○",1,0),"")</f>
        <v/>
      </c>
      <c r="Y68" s="20"/>
      <c r="Z68" s="18"/>
      <c r="AA68" s="20"/>
      <c r="AB68" s="20"/>
    </row>
    <row r="69" customFormat="false" ht="15" hidden="false" customHeight="false" outlineLevel="0" collapsed="false">
      <c r="A69" s="13" t="s">
        <v>212</v>
      </c>
      <c r="B69" s="14" t="s">
        <v>213</v>
      </c>
      <c r="C69" s="15" t="s">
        <v>61</v>
      </c>
      <c r="D69" s="15" t="n">
        <v>5</v>
      </c>
      <c r="E69" s="14" t="s">
        <v>101</v>
      </c>
      <c r="F69" s="15" t="s">
        <v>63</v>
      </c>
      <c r="G69" s="14"/>
      <c r="H69" s="17" t="n">
        <v>1</v>
      </c>
      <c r="I69" s="18"/>
      <c r="J69" s="15" t="n">
        <f aca="false">IF(AND(H69=1,N(I69)&gt;0),1,0)</f>
        <v>0</v>
      </c>
      <c r="K69" s="15" t="str">
        <f aca="false">IF(J69=1,SUMPRODUCT(($J$5:$J$312=1)*(N($I$5:$I$312)&gt;N(I69)))+1,"")</f>
        <v/>
      </c>
      <c r="L69" s="15" t="str">
        <f aca="false">IF(J69&lt;&gt;1,"",IF(K69&lt;=ROUND(SUM($J$5:$J$312)*0.2,0),"上位20%",IF(K69&lt;=ROUND(SUM($J$5:$J$312)*0.8,0),"中位60%","下位20%")))</f>
        <v/>
      </c>
      <c r="M69" s="15" t="str">
        <f aca="false">IF(F69="あり","◎","")</f>
        <v>◎</v>
      </c>
      <c r="N69" s="15" t="str">
        <f aca="false">IF(OR(LEFT(G69,1)="A",LEFT(G69,1)="B"),"◎","")</f>
        <v/>
      </c>
      <c r="O69" s="19"/>
      <c r="P69" s="19"/>
      <c r="Q69" s="19"/>
      <c r="R69" s="19"/>
      <c r="S69" s="19"/>
      <c r="T69" s="19"/>
      <c r="U69" s="19"/>
      <c r="V69" s="19"/>
      <c r="W69" s="15" t="str">
        <f aca="false">IF((N(Q69)+N(R69)+N(S69)+N(T69)+N(U69)+N(V69))=0,"",IF(AND((N(Q69)+N(R69)+N(T69))&gt;=2,(N(Q69)+N(R69)+N(S69)+N(T69)+N(U69)+N(V69))&gt;=4),"高",IF(AND((N(Q69)+N(R69)+N(T69))&gt;=1,(N(Q69)+N(R69)+N(S69)+N(T69)+N(U69)+N(V69))=3),"中","低")))</f>
        <v/>
      </c>
      <c r="X69" s="15" t="str">
        <f aca="false">IF(L69="中位60%",IF(W69="高",3,IF(W69="中",2,IF(W69="低",1,0)))+IF(M69="◎",1,0)+IF(N69="◎",1,0)+IF(O69="○",1,0)+IF(P69="○",1,0),"")</f>
        <v/>
      </c>
      <c r="Y69" s="20"/>
      <c r="Z69" s="18"/>
      <c r="AA69" s="20"/>
      <c r="AB69" s="20"/>
    </row>
    <row r="70" customFormat="false" ht="15" hidden="false" customHeight="false" outlineLevel="0" collapsed="false">
      <c r="A70" s="13" t="s">
        <v>214</v>
      </c>
      <c r="B70" s="14" t="s">
        <v>215</v>
      </c>
      <c r="C70" s="15" t="s">
        <v>61</v>
      </c>
      <c r="D70" s="15" t="n">
        <v>6</v>
      </c>
      <c r="E70" s="14" t="s">
        <v>75</v>
      </c>
      <c r="F70" s="15" t="s">
        <v>80</v>
      </c>
      <c r="G70" s="16" t="s">
        <v>76</v>
      </c>
      <c r="H70" s="17" t="n">
        <v>1</v>
      </c>
      <c r="I70" s="18"/>
      <c r="J70" s="15" t="n">
        <f aca="false">IF(AND(H70=1,N(I70)&gt;0),1,0)</f>
        <v>0</v>
      </c>
      <c r="K70" s="15" t="str">
        <f aca="false">IF(J70=1,SUMPRODUCT(($J$5:$J$312=1)*(N($I$5:$I$312)&gt;N(I70)))+1,"")</f>
        <v/>
      </c>
      <c r="L70" s="15" t="str">
        <f aca="false">IF(J70&lt;&gt;1,"",IF(K70&lt;=ROUND(SUM($J$5:$J$312)*0.2,0),"上位20%",IF(K70&lt;=ROUND(SUM($J$5:$J$312)*0.8,0),"中位60%","下位20%")))</f>
        <v/>
      </c>
      <c r="M70" s="15" t="str">
        <f aca="false">IF(F70="あり","◎","")</f>
        <v/>
      </c>
      <c r="N70" s="15" t="str">
        <f aca="false">IF(OR(LEFT(G70,1)="A",LEFT(G70,1)="B"),"◎","")</f>
        <v>◎</v>
      </c>
      <c r="O70" s="19"/>
      <c r="P70" s="19"/>
      <c r="Q70" s="19"/>
      <c r="R70" s="19"/>
      <c r="S70" s="19"/>
      <c r="T70" s="19"/>
      <c r="U70" s="19"/>
      <c r="V70" s="19"/>
      <c r="W70" s="15" t="str">
        <f aca="false">IF((N(Q70)+N(R70)+N(S70)+N(T70)+N(U70)+N(V70))=0,"",IF(AND((N(Q70)+N(R70)+N(T70))&gt;=2,(N(Q70)+N(R70)+N(S70)+N(T70)+N(U70)+N(V70))&gt;=4),"高",IF(AND((N(Q70)+N(R70)+N(T70))&gt;=1,(N(Q70)+N(R70)+N(S70)+N(T70)+N(U70)+N(V70))=3),"中","低")))</f>
        <v/>
      </c>
      <c r="X70" s="15" t="str">
        <f aca="false">IF(L70="中位60%",IF(W70="高",3,IF(W70="中",2,IF(W70="低",1,0)))+IF(M70="◎",1,0)+IF(N70="◎",1,0)+IF(O70="○",1,0)+IF(P70="○",1,0),"")</f>
        <v/>
      </c>
      <c r="Y70" s="20"/>
      <c r="Z70" s="18"/>
      <c r="AA70" s="20"/>
      <c r="AB70" s="20"/>
    </row>
    <row r="71" customFormat="false" ht="15" hidden="false" customHeight="false" outlineLevel="0" collapsed="false">
      <c r="A71" s="13" t="s">
        <v>216</v>
      </c>
      <c r="B71" s="14" t="s">
        <v>217</v>
      </c>
      <c r="C71" s="15" t="s">
        <v>61</v>
      </c>
      <c r="D71" s="15" t="n">
        <v>6</v>
      </c>
      <c r="E71" s="14" t="s">
        <v>83</v>
      </c>
      <c r="F71" s="15" t="s">
        <v>63</v>
      </c>
      <c r="G71" s="16" t="s">
        <v>110</v>
      </c>
      <c r="H71" s="17" t="n">
        <v>1</v>
      </c>
      <c r="I71" s="18"/>
      <c r="J71" s="15" t="n">
        <f aca="false">IF(AND(H71=1,N(I71)&gt;0),1,0)</f>
        <v>0</v>
      </c>
      <c r="K71" s="15" t="str">
        <f aca="false">IF(J71=1,SUMPRODUCT(($J$5:$J$312=1)*(N($I$5:$I$312)&gt;N(I71)))+1,"")</f>
        <v/>
      </c>
      <c r="L71" s="15" t="str">
        <f aca="false">IF(J71&lt;&gt;1,"",IF(K71&lt;=ROUND(SUM($J$5:$J$312)*0.2,0),"上位20%",IF(K71&lt;=ROUND(SUM($J$5:$J$312)*0.8,0),"中位60%","下位20%")))</f>
        <v/>
      </c>
      <c r="M71" s="15" t="str">
        <f aca="false">IF(F71="あり","◎","")</f>
        <v>◎</v>
      </c>
      <c r="N71" s="15" t="str">
        <f aca="false">IF(OR(LEFT(G71,1)="A",LEFT(G71,1)="B"),"◎","")</f>
        <v>◎</v>
      </c>
      <c r="O71" s="19"/>
      <c r="P71" s="19"/>
      <c r="Q71" s="19"/>
      <c r="R71" s="19"/>
      <c r="S71" s="19"/>
      <c r="T71" s="19"/>
      <c r="U71" s="19"/>
      <c r="V71" s="19"/>
      <c r="W71" s="15" t="str">
        <f aca="false">IF((N(Q71)+N(R71)+N(S71)+N(T71)+N(U71)+N(V71))=0,"",IF(AND((N(Q71)+N(R71)+N(T71))&gt;=2,(N(Q71)+N(R71)+N(S71)+N(T71)+N(U71)+N(V71))&gt;=4),"高",IF(AND((N(Q71)+N(R71)+N(T71))&gt;=1,(N(Q71)+N(R71)+N(S71)+N(T71)+N(U71)+N(V71))=3),"中","低")))</f>
        <v/>
      </c>
      <c r="X71" s="15" t="str">
        <f aca="false">IF(L71="中位60%",IF(W71="高",3,IF(W71="中",2,IF(W71="低",1,0)))+IF(M71="◎",1,0)+IF(N71="◎",1,0)+IF(O71="○",1,0)+IF(P71="○",1,0),"")</f>
        <v/>
      </c>
      <c r="Y71" s="20"/>
      <c r="Z71" s="18"/>
      <c r="AA71" s="20"/>
      <c r="AB71" s="20"/>
    </row>
    <row r="72" customFormat="false" ht="15" hidden="false" customHeight="false" outlineLevel="0" collapsed="false">
      <c r="A72" s="13" t="s">
        <v>218</v>
      </c>
      <c r="B72" s="14" t="s">
        <v>219</v>
      </c>
      <c r="C72" s="15" t="s">
        <v>61</v>
      </c>
      <c r="D72" s="15" t="n">
        <v>6</v>
      </c>
      <c r="E72" s="14" t="s">
        <v>79</v>
      </c>
      <c r="F72" s="15" t="s">
        <v>63</v>
      </c>
      <c r="G72" s="16" t="s">
        <v>64</v>
      </c>
      <c r="H72" s="17" t="n">
        <v>1</v>
      </c>
      <c r="I72" s="18"/>
      <c r="J72" s="15" t="n">
        <f aca="false">IF(AND(H72=1,N(I72)&gt;0),1,0)</f>
        <v>0</v>
      </c>
      <c r="K72" s="15" t="str">
        <f aca="false">IF(J72=1,SUMPRODUCT(($J$5:$J$312=1)*(N($I$5:$I$312)&gt;N(I72)))+1,"")</f>
        <v/>
      </c>
      <c r="L72" s="15" t="str">
        <f aca="false">IF(J72&lt;&gt;1,"",IF(K72&lt;=ROUND(SUM($J$5:$J$312)*0.2,0),"上位20%",IF(K72&lt;=ROUND(SUM($J$5:$J$312)*0.8,0),"中位60%","下位20%")))</f>
        <v/>
      </c>
      <c r="M72" s="15" t="str">
        <f aca="false">IF(F72="あり","◎","")</f>
        <v>◎</v>
      </c>
      <c r="N72" s="15" t="str">
        <f aca="false">IF(OR(LEFT(G72,1)="A",LEFT(G72,1)="B"),"◎","")</f>
        <v/>
      </c>
      <c r="O72" s="19"/>
      <c r="P72" s="19"/>
      <c r="Q72" s="19"/>
      <c r="R72" s="19"/>
      <c r="S72" s="19"/>
      <c r="T72" s="19"/>
      <c r="U72" s="19"/>
      <c r="V72" s="19"/>
      <c r="W72" s="15" t="str">
        <f aca="false">IF((N(Q72)+N(R72)+N(S72)+N(T72)+N(U72)+N(V72))=0,"",IF(AND((N(Q72)+N(R72)+N(T72))&gt;=2,(N(Q72)+N(R72)+N(S72)+N(T72)+N(U72)+N(V72))&gt;=4),"高",IF(AND((N(Q72)+N(R72)+N(T72))&gt;=1,(N(Q72)+N(R72)+N(S72)+N(T72)+N(U72)+N(V72))=3),"中","低")))</f>
        <v/>
      </c>
      <c r="X72" s="15" t="str">
        <f aca="false">IF(L72="中位60%",IF(W72="高",3,IF(W72="中",2,IF(W72="低",1,0)))+IF(M72="◎",1,0)+IF(N72="◎",1,0)+IF(O72="○",1,0)+IF(P72="○",1,0),"")</f>
        <v/>
      </c>
      <c r="Y72" s="20"/>
      <c r="Z72" s="18"/>
      <c r="AA72" s="20"/>
      <c r="AB72" s="20"/>
    </row>
    <row r="73" customFormat="false" ht="15" hidden="false" customHeight="false" outlineLevel="0" collapsed="false">
      <c r="A73" s="13" t="s">
        <v>220</v>
      </c>
      <c r="B73" s="14" t="s">
        <v>221</v>
      </c>
      <c r="C73" s="15" t="s">
        <v>61</v>
      </c>
      <c r="D73" s="15" t="n">
        <v>6</v>
      </c>
      <c r="E73" s="14" t="s">
        <v>222</v>
      </c>
      <c r="F73" s="15" t="s">
        <v>63</v>
      </c>
      <c r="G73" s="16" t="s">
        <v>64</v>
      </c>
      <c r="H73" s="17" t="n">
        <v>1</v>
      </c>
      <c r="I73" s="18"/>
      <c r="J73" s="15" t="n">
        <f aca="false">IF(AND(H73=1,N(I73)&gt;0),1,0)</f>
        <v>0</v>
      </c>
      <c r="K73" s="15" t="str">
        <f aca="false">IF(J73=1,SUMPRODUCT(($J$5:$J$312=1)*(N($I$5:$I$312)&gt;N(I73)))+1,"")</f>
        <v/>
      </c>
      <c r="L73" s="15" t="str">
        <f aca="false">IF(J73&lt;&gt;1,"",IF(K73&lt;=ROUND(SUM($J$5:$J$312)*0.2,0),"上位20%",IF(K73&lt;=ROUND(SUM($J$5:$J$312)*0.8,0),"中位60%","下位20%")))</f>
        <v/>
      </c>
      <c r="M73" s="15" t="str">
        <f aca="false">IF(F73="あり","◎","")</f>
        <v>◎</v>
      </c>
      <c r="N73" s="15" t="str">
        <f aca="false">IF(OR(LEFT(G73,1)="A",LEFT(G73,1)="B"),"◎","")</f>
        <v/>
      </c>
      <c r="O73" s="19"/>
      <c r="P73" s="19"/>
      <c r="Q73" s="19"/>
      <c r="R73" s="19"/>
      <c r="S73" s="19"/>
      <c r="T73" s="19"/>
      <c r="U73" s="19"/>
      <c r="V73" s="19"/>
      <c r="W73" s="15" t="str">
        <f aca="false">IF((N(Q73)+N(R73)+N(S73)+N(T73)+N(U73)+N(V73))=0,"",IF(AND((N(Q73)+N(R73)+N(T73))&gt;=2,(N(Q73)+N(R73)+N(S73)+N(T73)+N(U73)+N(V73))&gt;=4),"高",IF(AND((N(Q73)+N(R73)+N(T73))&gt;=1,(N(Q73)+N(R73)+N(S73)+N(T73)+N(U73)+N(V73))=3),"中","低")))</f>
        <v/>
      </c>
      <c r="X73" s="15" t="str">
        <f aca="false">IF(L73="中位60%",IF(W73="高",3,IF(W73="中",2,IF(W73="低",1,0)))+IF(M73="◎",1,0)+IF(N73="◎",1,0)+IF(O73="○",1,0)+IF(P73="○",1,0),"")</f>
        <v/>
      </c>
      <c r="Y73" s="20"/>
      <c r="Z73" s="18"/>
      <c r="AA73" s="20"/>
      <c r="AB73" s="20"/>
    </row>
    <row r="74" customFormat="false" ht="15" hidden="false" customHeight="false" outlineLevel="0" collapsed="false">
      <c r="A74" s="13" t="s">
        <v>223</v>
      </c>
      <c r="B74" s="14" t="s">
        <v>224</v>
      </c>
      <c r="C74" s="15" t="s">
        <v>61</v>
      </c>
      <c r="D74" s="15" t="n">
        <v>6</v>
      </c>
      <c r="E74" s="14" t="s">
        <v>79</v>
      </c>
      <c r="F74" s="15" t="s">
        <v>63</v>
      </c>
      <c r="G74" s="16" t="s">
        <v>76</v>
      </c>
      <c r="H74" s="17" t="n">
        <v>1</v>
      </c>
      <c r="I74" s="18"/>
      <c r="J74" s="15" t="n">
        <f aca="false">IF(AND(H74=1,N(I74)&gt;0),1,0)</f>
        <v>0</v>
      </c>
      <c r="K74" s="15" t="str">
        <f aca="false">IF(J74=1,SUMPRODUCT(($J$5:$J$312=1)*(N($I$5:$I$312)&gt;N(I74)))+1,"")</f>
        <v/>
      </c>
      <c r="L74" s="15" t="str">
        <f aca="false">IF(J74&lt;&gt;1,"",IF(K74&lt;=ROUND(SUM($J$5:$J$312)*0.2,0),"上位20%",IF(K74&lt;=ROUND(SUM($J$5:$J$312)*0.8,0),"中位60%","下位20%")))</f>
        <v/>
      </c>
      <c r="M74" s="15" t="str">
        <f aca="false">IF(F74="あり","◎","")</f>
        <v>◎</v>
      </c>
      <c r="N74" s="15" t="str">
        <f aca="false">IF(OR(LEFT(G74,1)="A",LEFT(G74,1)="B"),"◎","")</f>
        <v>◎</v>
      </c>
      <c r="O74" s="19"/>
      <c r="P74" s="19"/>
      <c r="Q74" s="19"/>
      <c r="R74" s="19"/>
      <c r="S74" s="19"/>
      <c r="T74" s="19"/>
      <c r="U74" s="19"/>
      <c r="V74" s="19"/>
      <c r="W74" s="15" t="str">
        <f aca="false">IF((N(Q74)+N(R74)+N(S74)+N(T74)+N(U74)+N(V74))=0,"",IF(AND((N(Q74)+N(R74)+N(T74))&gt;=2,(N(Q74)+N(R74)+N(S74)+N(T74)+N(U74)+N(V74))&gt;=4),"高",IF(AND((N(Q74)+N(R74)+N(T74))&gt;=1,(N(Q74)+N(R74)+N(S74)+N(T74)+N(U74)+N(V74))=3),"中","低")))</f>
        <v/>
      </c>
      <c r="X74" s="15" t="str">
        <f aca="false">IF(L74="中位60%",IF(W74="高",3,IF(W74="中",2,IF(W74="低",1,0)))+IF(M74="◎",1,0)+IF(N74="◎",1,0)+IF(O74="○",1,0)+IF(P74="○",1,0),"")</f>
        <v/>
      </c>
      <c r="Y74" s="20"/>
      <c r="Z74" s="18"/>
      <c r="AA74" s="20"/>
      <c r="AB74" s="20"/>
    </row>
    <row r="75" customFormat="false" ht="15" hidden="false" customHeight="false" outlineLevel="0" collapsed="false">
      <c r="A75" s="13" t="s">
        <v>225</v>
      </c>
      <c r="B75" s="14" t="s">
        <v>226</v>
      </c>
      <c r="C75" s="15" t="s">
        <v>61</v>
      </c>
      <c r="D75" s="15" t="n">
        <v>6</v>
      </c>
      <c r="E75" s="14" t="s">
        <v>117</v>
      </c>
      <c r="F75" s="15" t="s">
        <v>63</v>
      </c>
      <c r="G75" s="16" t="s">
        <v>88</v>
      </c>
      <c r="H75" s="17" t="n">
        <v>1</v>
      </c>
      <c r="I75" s="18"/>
      <c r="J75" s="15" t="n">
        <f aca="false">IF(AND(H75=1,N(I75)&gt;0),1,0)</f>
        <v>0</v>
      </c>
      <c r="K75" s="15" t="str">
        <f aca="false">IF(J75=1,SUMPRODUCT(($J$5:$J$312=1)*(N($I$5:$I$312)&gt;N(I75)))+1,"")</f>
        <v/>
      </c>
      <c r="L75" s="15" t="str">
        <f aca="false">IF(J75&lt;&gt;1,"",IF(K75&lt;=ROUND(SUM($J$5:$J$312)*0.2,0),"上位20%",IF(K75&lt;=ROUND(SUM($J$5:$J$312)*0.8,0),"中位60%","下位20%")))</f>
        <v/>
      </c>
      <c r="M75" s="15" t="str">
        <f aca="false">IF(F75="あり","◎","")</f>
        <v>◎</v>
      </c>
      <c r="N75" s="15" t="str">
        <f aca="false">IF(OR(LEFT(G75,1)="A",LEFT(G75,1)="B"),"◎","")</f>
        <v/>
      </c>
      <c r="O75" s="19"/>
      <c r="P75" s="19"/>
      <c r="Q75" s="19"/>
      <c r="R75" s="19"/>
      <c r="S75" s="19"/>
      <c r="T75" s="19"/>
      <c r="U75" s="19"/>
      <c r="V75" s="19"/>
      <c r="W75" s="15" t="str">
        <f aca="false">IF((N(Q75)+N(R75)+N(S75)+N(T75)+N(U75)+N(V75))=0,"",IF(AND((N(Q75)+N(R75)+N(T75))&gt;=2,(N(Q75)+N(R75)+N(S75)+N(T75)+N(U75)+N(V75))&gt;=4),"高",IF(AND((N(Q75)+N(R75)+N(T75))&gt;=1,(N(Q75)+N(R75)+N(S75)+N(T75)+N(U75)+N(V75))=3),"中","低")))</f>
        <v/>
      </c>
      <c r="X75" s="15" t="str">
        <f aca="false">IF(L75="中位60%",IF(W75="高",3,IF(W75="中",2,IF(W75="低",1,0)))+IF(M75="◎",1,0)+IF(N75="◎",1,0)+IF(O75="○",1,0)+IF(P75="○",1,0),"")</f>
        <v/>
      </c>
      <c r="Y75" s="20"/>
      <c r="Z75" s="18"/>
      <c r="AA75" s="20"/>
      <c r="AB75" s="20"/>
    </row>
    <row r="76" customFormat="false" ht="15" hidden="false" customHeight="false" outlineLevel="0" collapsed="false">
      <c r="A76" s="13" t="s">
        <v>227</v>
      </c>
      <c r="B76" s="14" t="s">
        <v>228</v>
      </c>
      <c r="C76" s="15" t="s">
        <v>61</v>
      </c>
      <c r="D76" s="15" t="n">
        <v>6</v>
      </c>
      <c r="E76" s="14" t="s">
        <v>94</v>
      </c>
      <c r="F76" s="15" t="s">
        <v>80</v>
      </c>
      <c r="G76" s="16" t="s">
        <v>110</v>
      </c>
      <c r="H76" s="17" t="n">
        <v>1</v>
      </c>
      <c r="I76" s="18"/>
      <c r="J76" s="15" t="n">
        <f aca="false">IF(AND(H76=1,N(I76)&gt;0),1,0)</f>
        <v>0</v>
      </c>
      <c r="K76" s="15" t="str">
        <f aca="false">IF(J76=1,SUMPRODUCT(($J$5:$J$312=1)*(N($I$5:$I$312)&gt;N(I76)))+1,"")</f>
        <v/>
      </c>
      <c r="L76" s="15" t="str">
        <f aca="false">IF(J76&lt;&gt;1,"",IF(K76&lt;=ROUND(SUM($J$5:$J$312)*0.2,0),"上位20%",IF(K76&lt;=ROUND(SUM($J$5:$J$312)*0.8,0),"中位60%","下位20%")))</f>
        <v/>
      </c>
      <c r="M76" s="15" t="str">
        <f aca="false">IF(F76="あり","◎","")</f>
        <v/>
      </c>
      <c r="N76" s="15" t="str">
        <f aca="false">IF(OR(LEFT(G76,1)="A",LEFT(G76,1)="B"),"◎","")</f>
        <v>◎</v>
      </c>
      <c r="O76" s="19"/>
      <c r="P76" s="19"/>
      <c r="Q76" s="19"/>
      <c r="R76" s="19"/>
      <c r="S76" s="19"/>
      <c r="T76" s="19"/>
      <c r="U76" s="19"/>
      <c r="V76" s="19"/>
      <c r="W76" s="15" t="str">
        <f aca="false">IF((N(Q76)+N(R76)+N(S76)+N(T76)+N(U76)+N(V76))=0,"",IF(AND((N(Q76)+N(R76)+N(T76))&gt;=2,(N(Q76)+N(R76)+N(S76)+N(T76)+N(U76)+N(V76))&gt;=4),"高",IF(AND((N(Q76)+N(R76)+N(T76))&gt;=1,(N(Q76)+N(R76)+N(S76)+N(T76)+N(U76)+N(V76))=3),"中","低")))</f>
        <v/>
      </c>
      <c r="X76" s="15" t="str">
        <f aca="false">IF(L76="中位60%",IF(W76="高",3,IF(W76="中",2,IF(W76="低",1,0)))+IF(M76="◎",1,0)+IF(N76="◎",1,0)+IF(O76="○",1,0)+IF(P76="○",1,0),"")</f>
        <v/>
      </c>
      <c r="Y76" s="20"/>
      <c r="Z76" s="18"/>
      <c r="AA76" s="20"/>
      <c r="AB76" s="20"/>
    </row>
    <row r="77" customFormat="false" ht="15" hidden="false" customHeight="false" outlineLevel="0" collapsed="false">
      <c r="A77" s="13" t="s">
        <v>229</v>
      </c>
      <c r="B77" s="14" t="s">
        <v>230</v>
      </c>
      <c r="C77" s="15" t="s">
        <v>61</v>
      </c>
      <c r="D77" s="15" t="n">
        <v>6</v>
      </c>
      <c r="E77" s="14" t="s">
        <v>79</v>
      </c>
      <c r="F77" s="15" t="s">
        <v>63</v>
      </c>
      <c r="G77" s="16" t="s">
        <v>110</v>
      </c>
      <c r="H77" s="17" t="n">
        <v>1</v>
      </c>
      <c r="I77" s="18"/>
      <c r="J77" s="15" t="n">
        <f aca="false">IF(AND(H77=1,N(I77)&gt;0),1,0)</f>
        <v>0</v>
      </c>
      <c r="K77" s="15" t="str">
        <f aca="false">IF(J77=1,SUMPRODUCT(($J$5:$J$312=1)*(N($I$5:$I$312)&gt;N(I77)))+1,"")</f>
        <v/>
      </c>
      <c r="L77" s="15" t="str">
        <f aca="false">IF(J77&lt;&gt;1,"",IF(K77&lt;=ROUND(SUM($J$5:$J$312)*0.2,0),"上位20%",IF(K77&lt;=ROUND(SUM($J$5:$J$312)*0.8,0),"中位60%","下位20%")))</f>
        <v/>
      </c>
      <c r="M77" s="15" t="str">
        <f aca="false">IF(F77="あり","◎","")</f>
        <v>◎</v>
      </c>
      <c r="N77" s="15" t="str">
        <f aca="false">IF(OR(LEFT(G77,1)="A",LEFT(G77,1)="B"),"◎","")</f>
        <v>◎</v>
      </c>
      <c r="O77" s="19"/>
      <c r="P77" s="19"/>
      <c r="Q77" s="19"/>
      <c r="R77" s="19"/>
      <c r="S77" s="19"/>
      <c r="T77" s="19"/>
      <c r="U77" s="19"/>
      <c r="V77" s="19"/>
      <c r="W77" s="15" t="str">
        <f aca="false">IF((N(Q77)+N(R77)+N(S77)+N(T77)+N(U77)+N(V77))=0,"",IF(AND((N(Q77)+N(R77)+N(T77))&gt;=2,(N(Q77)+N(R77)+N(S77)+N(T77)+N(U77)+N(V77))&gt;=4),"高",IF(AND((N(Q77)+N(R77)+N(T77))&gt;=1,(N(Q77)+N(R77)+N(S77)+N(T77)+N(U77)+N(V77))=3),"中","低")))</f>
        <v/>
      </c>
      <c r="X77" s="15" t="str">
        <f aca="false">IF(L77="中位60%",IF(W77="高",3,IF(W77="中",2,IF(W77="低",1,0)))+IF(M77="◎",1,0)+IF(N77="◎",1,0)+IF(O77="○",1,0)+IF(P77="○",1,0),"")</f>
        <v/>
      </c>
      <c r="Y77" s="20"/>
      <c r="Z77" s="18"/>
      <c r="AA77" s="20"/>
      <c r="AB77" s="20"/>
    </row>
    <row r="78" customFormat="false" ht="15" hidden="false" customHeight="false" outlineLevel="0" collapsed="false">
      <c r="A78" s="13" t="s">
        <v>231</v>
      </c>
      <c r="B78" s="14" t="s">
        <v>232</v>
      </c>
      <c r="C78" s="15" t="s">
        <v>61</v>
      </c>
      <c r="D78" s="15" t="n">
        <v>6</v>
      </c>
      <c r="E78" s="14" t="s">
        <v>117</v>
      </c>
      <c r="F78" s="15" t="s">
        <v>63</v>
      </c>
      <c r="G78" s="16" t="s">
        <v>64</v>
      </c>
      <c r="H78" s="17" t="n">
        <v>1</v>
      </c>
      <c r="I78" s="18"/>
      <c r="J78" s="15" t="n">
        <f aca="false">IF(AND(H78=1,N(I78)&gt;0),1,0)</f>
        <v>0</v>
      </c>
      <c r="K78" s="15" t="str">
        <f aca="false">IF(J78=1,SUMPRODUCT(($J$5:$J$312=1)*(N($I$5:$I$312)&gt;N(I78)))+1,"")</f>
        <v/>
      </c>
      <c r="L78" s="15" t="str">
        <f aca="false">IF(J78&lt;&gt;1,"",IF(K78&lt;=ROUND(SUM($J$5:$J$312)*0.2,0),"上位20%",IF(K78&lt;=ROUND(SUM($J$5:$J$312)*0.8,0),"中位60%","下位20%")))</f>
        <v/>
      </c>
      <c r="M78" s="15" t="str">
        <f aca="false">IF(F78="あり","◎","")</f>
        <v>◎</v>
      </c>
      <c r="N78" s="15" t="str">
        <f aca="false">IF(OR(LEFT(G78,1)="A",LEFT(G78,1)="B"),"◎","")</f>
        <v/>
      </c>
      <c r="O78" s="19"/>
      <c r="P78" s="19"/>
      <c r="Q78" s="19"/>
      <c r="R78" s="19"/>
      <c r="S78" s="19"/>
      <c r="T78" s="19"/>
      <c r="U78" s="19"/>
      <c r="V78" s="19"/>
      <c r="W78" s="15" t="str">
        <f aca="false">IF((N(Q78)+N(R78)+N(S78)+N(T78)+N(U78)+N(V78))=0,"",IF(AND((N(Q78)+N(R78)+N(T78))&gt;=2,(N(Q78)+N(R78)+N(S78)+N(T78)+N(U78)+N(V78))&gt;=4),"高",IF(AND((N(Q78)+N(R78)+N(T78))&gt;=1,(N(Q78)+N(R78)+N(S78)+N(T78)+N(U78)+N(V78))=3),"中","低")))</f>
        <v/>
      </c>
      <c r="X78" s="15" t="str">
        <f aca="false">IF(L78="中位60%",IF(W78="高",3,IF(W78="中",2,IF(W78="低",1,0)))+IF(M78="◎",1,0)+IF(N78="◎",1,0)+IF(O78="○",1,0)+IF(P78="○",1,0),"")</f>
        <v/>
      </c>
      <c r="Y78" s="20"/>
      <c r="Z78" s="18"/>
      <c r="AA78" s="20"/>
      <c r="AB78" s="20"/>
    </row>
    <row r="79" customFormat="false" ht="15" hidden="false" customHeight="false" outlineLevel="0" collapsed="false">
      <c r="A79" s="13" t="s">
        <v>233</v>
      </c>
      <c r="B79" s="14" t="s">
        <v>234</v>
      </c>
      <c r="C79" s="15" t="s">
        <v>61</v>
      </c>
      <c r="D79" s="15" t="n">
        <v>6</v>
      </c>
      <c r="E79" s="14" t="s">
        <v>79</v>
      </c>
      <c r="F79" s="15" t="s">
        <v>63</v>
      </c>
      <c r="G79" s="16" t="s">
        <v>64</v>
      </c>
      <c r="H79" s="17" t="n">
        <v>1</v>
      </c>
      <c r="I79" s="18"/>
      <c r="J79" s="15" t="n">
        <f aca="false">IF(AND(H79=1,N(I79)&gt;0),1,0)</f>
        <v>0</v>
      </c>
      <c r="K79" s="15" t="str">
        <f aca="false">IF(J79=1,SUMPRODUCT(($J$5:$J$312=1)*(N($I$5:$I$312)&gt;N(I79)))+1,"")</f>
        <v/>
      </c>
      <c r="L79" s="15" t="str">
        <f aca="false">IF(J79&lt;&gt;1,"",IF(K79&lt;=ROUND(SUM($J$5:$J$312)*0.2,0),"上位20%",IF(K79&lt;=ROUND(SUM($J$5:$J$312)*0.8,0),"中位60%","下位20%")))</f>
        <v/>
      </c>
      <c r="M79" s="15" t="str">
        <f aca="false">IF(F79="あり","◎","")</f>
        <v>◎</v>
      </c>
      <c r="N79" s="15" t="str">
        <f aca="false">IF(OR(LEFT(G79,1)="A",LEFT(G79,1)="B"),"◎","")</f>
        <v/>
      </c>
      <c r="O79" s="19"/>
      <c r="P79" s="19"/>
      <c r="Q79" s="19"/>
      <c r="R79" s="19"/>
      <c r="S79" s="19"/>
      <c r="T79" s="19"/>
      <c r="U79" s="19"/>
      <c r="V79" s="19"/>
      <c r="W79" s="15" t="str">
        <f aca="false">IF((N(Q79)+N(R79)+N(S79)+N(T79)+N(U79)+N(V79))=0,"",IF(AND((N(Q79)+N(R79)+N(T79))&gt;=2,(N(Q79)+N(R79)+N(S79)+N(T79)+N(U79)+N(V79))&gt;=4),"高",IF(AND((N(Q79)+N(R79)+N(T79))&gt;=1,(N(Q79)+N(R79)+N(S79)+N(T79)+N(U79)+N(V79))=3),"中","低")))</f>
        <v/>
      </c>
      <c r="X79" s="15" t="str">
        <f aca="false">IF(L79="中位60%",IF(W79="高",3,IF(W79="中",2,IF(W79="低",1,0)))+IF(M79="◎",1,0)+IF(N79="◎",1,0)+IF(O79="○",1,0)+IF(P79="○",1,0),"")</f>
        <v/>
      </c>
      <c r="Y79" s="20"/>
      <c r="Z79" s="18"/>
      <c r="AA79" s="20"/>
      <c r="AB79" s="20"/>
    </row>
    <row r="80" customFormat="false" ht="15" hidden="false" customHeight="false" outlineLevel="0" collapsed="false">
      <c r="A80" s="13" t="s">
        <v>235</v>
      </c>
      <c r="B80" s="14" t="s">
        <v>236</v>
      </c>
      <c r="C80" s="15" t="s">
        <v>61</v>
      </c>
      <c r="D80" s="15" t="n">
        <v>6</v>
      </c>
      <c r="E80" s="14" t="s">
        <v>101</v>
      </c>
      <c r="F80" s="15" t="s">
        <v>63</v>
      </c>
      <c r="G80" s="16" t="s">
        <v>64</v>
      </c>
      <c r="H80" s="17" t="n">
        <v>1</v>
      </c>
      <c r="I80" s="18"/>
      <c r="J80" s="15" t="n">
        <f aca="false">IF(AND(H80=1,N(I80)&gt;0),1,0)</f>
        <v>0</v>
      </c>
      <c r="K80" s="15" t="str">
        <f aca="false">IF(J80=1,SUMPRODUCT(($J$5:$J$312=1)*(N($I$5:$I$312)&gt;N(I80)))+1,"")</f>
        <v/>
      </c>
      <c r="L80" s="15" t="str">
        <f aca="false">IF(J80&lt;&gt;1,"",IF(K80&lt;=ROUND(SUM($J$5:$J$312)*0.2,0),"上位20%",IF(K80&lt;=ROUND(SUM($J$5:$J$312)*0.8,0),"中位60%","下位20%")))</f>
        <v/>
      </c>
      <c r="M80" s="15" t="str">
        <f aca="false">IF(F80="あり","◎","")</f>
        <v>◎</v>
      </c>
      <c r="N80" s="15" t="str">
        <f aca="false">IF(OR(LEFT(G80,1)="A",LEFT(G80,1)="B"),"◎","")</f>
        <v/>
      </c>
      <c r="O80" s="19"/>
      <c r="P80" s="19"/>
      <c r="Q80" s="19"/>
      <c r="R80" s="19"/>
      <c r="S80" s="19"/>
      <c r="T80" s="19"/>
      <c r="U80" s="19"/>
      <c r="V80" s="19"/>
      <c r="W80" s="15" t="str">
        <f aca="false">IF((N(Q80)+N(R80)+N(S80)+N(T80)+N(U80)+N(V80))=0,"",IF(AND((N(Q80)+N(R80)+N(T80))&gt;=2,(N(Q80)+N(R80)+N(S80)+N(T80)+N(U80)+N(V80))&gt;=4),"高",IF(AND((N(Q80)+N(R80)+N(T80))&gt;=1,(N(Q80)+N(R80)+N(S80)+N(T80)+N(U80)+N(V80))=3),"中","低")))</f>
        <v/>
      </c>
      <c r="X80" s="15" t="str">
        <f aca="false">IF(L80="中位60%",IF(W80="高",3,IF(W80="中",2,IF(W80="低",1,0)))+IF(M80="◎",1,0)+IF(N80="◎",1,0)+IF(O80="○",1,0)+IF(P80="○",1,0),"")</f>
        <v/>
      </c>
      <c r="Y80" s="20"/>
      <c r="Z80" s="18"/>
      <c r="AA80" s="20"/>
      <c r="AB80" s="20"/>
    </row>
    <row r="81" customFormat="false" ht="15" hidden="false" customHeight="false" outlineLevel="0" collapsed="false">
      <c r="A81" s="13" t="s">
        <v>237</v>
      </c>
      <c r="B81" s="14" t="s">
        <v>238</v>
      </c>
      <c r="C81" s="15" t="s">
        <v>61</v>
      </c>
      <c r="D81" s="15" t="n">
        <v>6</v>
      </c>
      <c r="E81" s="14" t="s">
        <v>62</v>
      </c>
      <c r="F81" s="15" t="s">
        <v>80</v>
      </c>
      <c r="G81" s="16" t="s">
        <v>110</v>
      </c>
      <c r="H81" s="17" t="n">
        <v>1</v>
      </c>
      <c r="I81" s="18"/>
      <c r="J81" s="15" t="n">
        <f aca="false">IF(AND(H81=1,N(I81)&gt;0),1,0)</f>
        <v>0</v>
      </c>
      <c r="K81" s="15" t="str">
        <f aca="false">IF(J81=1,SUMPRODUCT(($J$5:$J$312=1)*(N($I$5:$I$312)&gt;N(I81)))+1,"")</f>
        <v/>
      </c>
      <c r="L81" s="15" t="str">
        <f aca="false">IF(J81&lt;&gt;1,"",IF(K81&lt;=ROUND(SUM($J$5:$J$312)*0.2,0),"上位20%",IF(K81&lt;=ROUND(SUM($J$5:$J$312)*0.8,0),"中位60%","下位20%")))</f>
        <v/>
      </c>
      <c r="M81" s="15" t="str">
        <f aca="false">IF(F81="あり","◎","")</f>
        <v/>
      </c>
      <c r="N81" s="15" t="str">
        <f aca="false">IF(OR(LEFT(G81,1)="A",LEFT(G81,1)="B"),"◎","")</f>
        <v>◎</v>
      </c>
      <c r="O81" s="19"/>
      <c r="P81" s="19"/>
      <c r="Q81" s="19"/>
      <c r="R81" s="19"/>
      <c r="S81" s="19"/>
      <c r="T81" s="19"/>
      <c r="U81" s="19"/>
      <c r="V81" s="19"/>
      <c r="W81" s="15" t="str">
        <f aca="false">IF((N(Q81)+N(R81)+N(S81)+N(T81)+N(U81)+N(V81))=0,"",IF(AND((N(Q81)+N(R81)+N(T81))&gt;=2,(N(Q81)+N(R81)+N(S81)+N(T81)+N(U81)+N(V81))&gt;=4),"高",IF(AND((N(Q81)+N(R81)+N(T81))&gt;=1,(N(Q81)+N(R81)+N(S81)+N(T81)+N(U81)+N(V81))=3),"中","低")))</f>
        <v/>
      </c>
      <c r="X81" s="15" t="str">
        <f aca="false">IF(L81="中位60%",IF(W81="高",3,IF(W81="中",2,IF(W81="低",1,0)))+IF(M81="◎",1,0)+IF(N81="◎",1,0)+IF(O81="○",1,0)+IF(P81="○",1,0),"")</f>
        <v/>
      </c>
      <c r="Y81" s="20"/>
      <c r="Z81" s="18"/>
      <c r="AA81" s="20"/>
      <c r="AB81" s="20"/>
    </row>
    <row r="82" customFormat="false" ht="15" hidden="false" customHeight="false" outlineLevel="0" collapsed="false">
      <c r="A82" s="13" t="s">
        <v>239</v>
      </c>
      <c r="B82" s="14" t="s">
        <v>240</v>
      </c>
      <c r="C82" s="15" t="s">
        <v>61</v>
      </c>
      <c r="D82" s="15" t="n">
        <v>6</v>
      </c>
      <c r="E82" s="14" t="s">
        <v>62</v>
      </c>
      <c r="F82" s="15" t="s">
        <v>63</v>
      </c>
      <c r="G82" s="14"/>
      <c r="H82" s="17" t="n">
        <v>1</v>
      </c>
      <c r="I82" s="18"/>
      <c r="J82" s="15" t="n">
        <f aca="false">IF(AND(H82=1,N(I82)&gt;0),1,0)</f>
        <v>0</v>
      </c>
      <c r="K82" s="15" t="str">
        <f aca="false">IF(J82=1,SUMPRODUCT(($J$5:$J$312=1)*(N($I$5:$I$312)&gt;N(I82)))+1,"")</f>
        <v/>
      </c>
      <c r="L82" s="15" t="str">
        <f aca="false">IF(J82&lt;&gt;1,"",IF(K82&lt;=ROUND(SUM($J$5:$J$312)*0.2,0),"上位20%",IF(K82&lt;=ROUND(SUM($J$5:$J$312)*0.8,0),"中位60%","下位20%")))</f>
        <v/>
      </c>
      <c r="M82" s="15" t="str">
        <f aca="false">IF(F82="あり","◎","")</f>
        <v>◎</v>
      </c>
      <c r="N82" s="15" t="str">
        <f aca="false">IF(OR(LEFT(G82,1)="A",LEFT(G82,1)="B"),"◎","")</f>
        <v/>
      </c>
      <c r="O82" s="19"/>
      <c r="P82" s="19"/>
      <c r="Q82" s="19"/>
      <c r="R82" s="19"/>
      <c r="S82" s="19"/>
      <c r="T82" s="19"/>
      <c r="U82" s="19"/>
      <c r="V82" s="19"/>
      <c r="W82" s="15" t="str">
        <f aca="false">IF((N(Q82)+N(R82)+N(S82)+N(T82)+N(U82)+N(V82))=0,"",IF(AND((N(Q82)+N(R82)+N(T82))&gt;=2,(N(Q82)+N(R82)+N(S82)+N(T82)+N(U82)+N(V82))&gt;=4),"高",IF(AND((N(Q82)+N(R82)+N(T82))&gt;=1,(N(Q82)+N(R82)+N(S82)+N(T82)+N(U82)+N(V82))=3),"中","低")))</f>
        <v/>
      </c>
      <c r="X82" s="15" t="str">
        <f aca="false">IF(L82="中位60%",IF(W82="高",3,IF(W82="中",2,IF(W82="低",1,0)))+IF(M82="◎",1,0)+IF(N82="◎",1,0)+IF(O82="○",1,0)+IF(P82="○",1,0),"")</f>
        <v/>
      </c>
      <c r="Y82" s="20"/>
      <c r="Z82" s="18"/>
      <c r="AA82" s="20"/>
      <c r="AB82" s="20"/>
    </row>
    <row r="83" customFormat="false" ht="15" hidden="false" customHeight="false" outlineLevel="0" collapsed="false">
      <c r="A83" s="13" t="s">
        <v>241</v>
      </c>
      <c r="B83" s="14" t="s">
        <v>242</v>
      </c>
      <c r="C83" s="15" t="s">
        <v>61</v>
      </c>
      <c r="D83" s="15" t="n">
        <v>6</v>
      </c>
      <c r="E83" s="14" t="s">
        <v>83</v>
      </c>
      <c r="F83" s="15" t="s">
        <v>63</v>
      </c>
      <c r="G83" s="14"/>
      <c r="H83" s="17" t="n">
        <v>1</v>
      </c>
      <c r="I83" s="18"/>
      <c r="J83" s="15" t="n">
        <f aca="false">IF(AND(H83=1,N(I83)&gt;0),1,0)</f>
        <v>0</v>
      </c>
      <c r="K83" s="15" t="str">
        <f aca="false">IF(J83=1,SUMPRODUCT(($J$5:$J$312=1)*(N($I$5:$I$312)&gt;N(I83)))+1,"")</f>
        <v/>
      </c>
      <c r="L83" s="15" t="str">
        <f aca="false">IF(J83&lt;&gt;1,"",IF(K83&lt;=ROUND(SUM($J$5:$J$312)*0.2,0),"上位20%",IF(K83&lt;=ROUND(SUM($J$5:$J$312)*0.8,0),"中位60%","下位20%")))</f>
        <v/>
      </c>
      <c r="M83" s="15" t="str">
        <f aca="false">IF(F83="あり","◎","")</f>
        <v>◎</v>
      </c>
      <c r="N83" s="15" t="str">
        <f aca="false">IF(OR(LEFT(G83,1)="A",LEFT(G83,1)="B"),"◎","")</f>
        <v/>
      </c>
      <c r="O83" s="19"/>
      <c r="P83" s="19"/>
      <c r="Q83" s="19"/>
      <c r="R83" s="19"/>
      <c r="S83" s="19"/>
      <c r="T83" s="19"/>
      <c r="U83" s="19"/>
      <c r="V83" s="19"/>
      <c r="W83" s="15" t="str">
        <f aca="false">IF((N(Q83)+N(R83)+N(S83)+N(T83)+N(U83)+N(V83))=0,"",IF(AND((N(Q83)+N(R83)+N(T83))&gt;=2,(N(Q83)+N(R83)+N(S83)+N(T83)+N(U83)+N(V83))&gt;=4),"高",IF(AND((N(Q83)+N(R83)+N(T83))&gt;=1,(N(Q83)+N(R83)+N(S83)+N(T83)+N(U83)+N(V83))=3),"中","低")))</f>
        <v/>
      </c>
      <c r="X83" s="15" t="str">
        <f aca="false">IF(L83="中位60%",IF(W83="高",3,IF(W83="中",2,IF(W83="低",1,0)))+IF(M83="◎",1,0)+IF(N83="◎",1,0)+IF(O83="○",1,0)+IF(P83="○",1,0),"")</f>
        <v/>
      </c>
      <c r="Y83" s="20"/>
      <c r="Z83" s="18"/>
      <c r="AA83" s="20"/>
      <c r="AB83" s="20"/>
    </row>
    <row r="84" customFormat="false" ht="15" hidden="false" customHeight="false" outlineLevel="0" collapsed="false">
      <c r="A84" s="13" t="s">
        <v>243</v>
      </c>
      <c r="B84" s="14" t="s">
        <v>244</v>
      </c>
      <c r="C84" s="15" t="s">
        <v>61</v>
      </c>
      <c r="D84" s="15" t="n">
        <v>6</v>
      </c>
      <c r="E84" s="14" t="s">
        <v>101</v>
      </c>
      <c r="F84" s="15" t="s">
        <v>63</v>
      </c>
      <c r="G84" s="14"/>
      <c r="H84" s="17" t="n">
        <v>1</v>
      </c>
      <c r="I84" s="18"/>
      <c r="J84" s="15" t="n">
        <f aca="false">IF(AND(H84=1,N(I84)&gt;0),1,0)</f>
        <v>0</v>
      </c>
      <c r="K84" s="15" t="str">
        <f aca="false">IF(J84=1,SUMPRODUCT(($J$5:$J$312=1)*(N($I$5:$I$312)&gt;N(I84)))+1,"")</f>
        <v/>
      </c>
      <c r="L84" s="15" t="str">
        <f aca="false">IF(J84&lt;&gt;1,"",IF(K84&lt;=ROUND(SUM($J$5:$J$312)*0.2,0),"上位20%",IF(K84&lt;=ROUND(SUM($J$5:$J$312)*0.8,0),"中位60%","下位20%")))</f>
        <v/>
      </c>
      <c r="M84" s="15" t="str">
        <f aca="false">IF(F84="あり","◎","")</f>
        <v>◎</v>
      </c>
      <c r="N84" s="15" t="str">
        <f aca="false">IF(OR(LEFT(G84,1)="A",LEFT(G84,1)="B"),"◎","")</f>
        <v/>
      </c>
      <c r="O84" s="19"/>
      <c r="P84" s="19"/>
      <c r="Q84" s="19"/>
      <c r="R84" s="19"/>
      <c r="S84" s="19"/>
      <c r="T84" s="19"/>
      <c r="U84" s="19"/>
      <c r="V84" s="19"/>
      <c r="W84" s="15" t="str">
        <f aca="false">IF((N(Q84)+N(R84)+N(S84)+N(T84)+N(U84)+N(V84))=0,"",IF(AND((N(Q84)+N(R84)+N(T84))&gt;=2,(N(Q84)+N(R84)+N(S84)+N(T84)+N(U84)+N(V84))&gt;=4),"高",IF(AND((N(Q84)+N(R84)+N(T84))&gt;=1,(N(Q84)+N(R84)+N(S84)+N(T84)+N(U84)+N(V84))=3),"中","低")))</f>
        <v/>
      </c>
      <c r="X84" s="15" t="str">
        <f aca="false">IF(L84="中位60%",IF(W84="高",3,IF(W84="中",2,IF(W84="低",1,0)))+IF(M84="◎",1,0)+IF(N84="◎",1,0)+IF(O84="○",1,0)+IF(P84="○",1,0),"")</f>
        <v/>
      </c>
      <c r="Y84" s="20"/>
      <c r="Z84" s="18"/>
      <c r="AA84" s="20"/>
      <c r="AB84" s="20"/>
    </row>
    <row r="85" customFormat="false" ht="15" hidden="false" customHeight="false" outlineLevel="0" collapsed="false">
      <c r="A85" s="13" t="s">
        <v>245</v>
      </c>
      <c r="B85" s="14" t="s">
        <v>246</v>
      </c>
      <c r="C85" s="15" t="s">
        <v>61</v>
      </c>
      <c r="D85" s="15" t="n">
        <v>6</v>
      </c>
      <c r="E85" s="14" t="s">
        <v>75</v>
      </c>
      <c r="F85" s="15" t="s">
        <v>80</v>
      </c>
      <c r="G85" s="14"/>
      <c r="H85" s="17" t="n">
        <v>1</v>
      </c>
      <c r="I85" s="18"/>
      <c r="J85" s="15" t="n">
        <f aca="false">IF(AND(H85=1,N(I85)&gt;0),1,0)</f>
        <v>0</v>
      </c>
      <c r="K85" s="15" t="str">
        <f aca="false">IF(J85=1,SUMPRODUCT(($J$5:$J$312=1)*(N($I$5:$I$312)&gt;N(I85)))+1,"")</f>
        <v/>
      </c>
      <c r="L85" s="15" t="str">
        <f aca="false">IF(J85&lt;&gt;1,"",IF(K85&lt;=ROUND(SUM($J$5:$J$312)*0.2,0),"上位20%",IF(K85&lt;=ROUND(SUM($J$5:$J$312)*0.8,0),"中位60%","下位20%")))</f>
        <v/>
      </c>
      <c r="M85" s="15" t="str">
        <f aca="false">IF(F85="あり","◎","")</f>
        <v/>
      </c>
      <c r="N85" s="15" t="str">
        <f aca="false">IF(OR(LEFT(G85,1)="A",LEFT(G85,1)="B"),"◎","")</f>
        <v/>
      </c>
      <c r="O85" s="19"/>
      <c r="P85" s="19"/>
      <c r="Q85" s="19"/>
      <c r="R85" s="19"/>
      <c r="S85" s="19"/>
      <c r="T85" s="19"/>
      <c r="U85" s="19"/>
      <c r="V85" s="19"/>
      <c r="W85" s="15" t="str">
        <f aca="false">IF((N(Q85)+N(R85)+N(S85)+N(T85)+N(U85)+N(V85))=0,"",IF(AND((N(Q85)+N(R85)+N(T85))&gt;=2,(N(Q85)+N(R85)+N(S85)+N(T85)+N(U85)+N(V85))&gt;=4),"高",IF(AND((N(Q85)+N(R85)+N(T85))&gt;=1,(N(Q85)+N(R85)+N(S85)+N(T85)+N(U85)+N(V85))=3),"中","低")))</f>
        <v/>
      </c>
      <c r="X85" s="15" t="str">
        <f aca="false">IF(L85="中位60%",IF(W85="高",3,IF(W85="中",2,IF(W85="低",1,0)))+IF(M85="◎",1,0)+IF(N85="◎",1,0)+IF(O85="○",1,0)+IF(P85="○",1,0),"")</f>
        <v/>
      </c>
      <c r="Y85" s="20"/>
      <c r="Z85" s="18"/>
      <c r="AA85" s="20"/>
      <c r="AB85" s="20"/>
    </row>
    <row r="86" customFormat="false" ht="15" hidden="false" customHeight="false" outlineLevel="0" collapsed="false">
      <c r="A86" s="13" t="s">
        <v>247</v>
      </c>
      <c r="B86" s="14" t="s">
        <v>248</v>
      </c>
      <c r="C86" s="15" t="s">
        <v>61</v>
      </c>
      <c r="D86" s="15" t="n">
        <v>6</v>
      </c>
      <c r="E86" s="14" t="s">
        <v>91</v>
      </c>
      <c r="F86" s="15" t="s">
        <v>63</v>
      </c>
      <c r="G86" s="16" t="s">
        <v>76</v>
      </c>
      <c r="H86" s="17" t="n">
        <v>1</v>
      </c>
      <c r="I86" s="18"/>
      <c r="J86" s="15" t="n">
        <f aca="false">IF(AND(H86=1,N(I86)&gt;0),1,0)</f>
        <v>0</v>
      </c>
      <c r="K86" s="15" t="str">
        <f aca="false">IF(J86=1,SUMPRODUCT(($J$5:$J$312=1)*(N($I$5:$I$312)&gt;N(I86)))+1,"")</f>
        <v/>
      </c>
      <c r="L86" s="15" t="str">
        <f aca="false">IF(J86&lt;&gt;1,"",IF(K86&lt;=ROUND(SUM($J$5:$J$312)*0.2,0),"上位20%",IF(K86&lt;=ROUND(SUM($J$5:$J$312)*0.8,0),"中位60%","下位20%")))</f>
        <v/>
      </c>
      <c r="M86" s="15" t="str">
        <f aca="false">IF(F86="あり","◎","")</f>
        <v>◎</v>
      </c>
      <c r="N86" s="15" t="str">
        <f aca="false">IF(OR(LEFT(G86,1)="A",LEFT(G86,1)="B"),"◎","")</f>
        <v>◎</v>
      </c>
      <c r="O86" s="19"/>
      <c r="P86" s="19"/>
      <c r="Q86" s="19"/>
      <c r="R86" s="19"/>
      <c r="S86" s="19"/>
      <c r="T86" s="19"/>
      <c r="U86" s="19"/>
      <c r="V86" s="19"/>
      <c r="W86" s="15" t="str">
        <f aca="false">IF((N(Q86)+N(R86)+N(S86)+N(T86)+N(U86)+N(V86))=0,"",IF(AND((N(Q86)+N(R86)+N(T86))&gt;=2,(N(Q86)+N(R86)+N(S86)+N(T86)+N(U86)+N(V86))&gt;=4),"高",IF(AND((N(Q86)+N(R86)+N(T86))&gt;=1,(N(Q86)+N(R86)+N(S86)+N(T86)+N(U86)+N(V86))=3),"中","低")))</f>
        <v/>
      </c>
      <c r="X86" s="15" t="str">
        <f aca="false">IF(L86="中位60%",IF(W86="高",3,IF(W86="中",2,IF(W86="低",1,0)))+IF(M86="◎",1,0)+IF(N86="◎",1,0)+IF(O86="○",1,0)+IF(P86="○",1,0),"")</f>
        <v/>
      </c>
      <c r="Y86" s="20"/>
      <c r="Z86" s="18"/>
      <c r="AA86" s="20"/>
      <c r="AB86" s="20"/>
    </row>
    <row r="87" customFormat="false" ht="15" hidden="false" customHeight="false" outlineLevel="0" collapsed="false">
      <c r="A87" s="13" t="s">
        <v>249</v>
      </c>
      <c r="B87" s="14" t="s">
        <v>250</v>
      </c>
      <c r="C87" s="15" t="s">
        <v>61</v>
      </c>
      <c r="D87" s="15" t="n">
        <v>6</v>
      </c>
      <c r="E87" s="14" t="s">
        <v>75</v>
      </c>
      <c r="F87" s="15" t="s">
        <v>80</v>
      </c>
      <c r="G87" s="14"/>
      <c r="H87" s="17" t="n">
        <v>1</v>
      </c>
      <c r="I87" s="18"/>
      <c r="J87" s="15" t="n">
        <f aca="false">IF(AND(H87=1,N(I87)&gt;0),1,0)</f>
        <v>0</v>
      </c>
      <c r="K87" s="15" t="str">
        <f aca="false">IF(J87=1,SUMPRODUCT(($J$5:$J$312=1)*(N($I$5:$I$312)&gt;N(I87)))+1,"")</f>
        <v/>
      </c>
      <c r="L87" s="15" t="str">
        <f aca="false">IF(J87&lt;&gt;1,"",IF(K87&lt;=ROUND(SUM($J$5:$J$312)*0.2,0),"上位20%",IF(K87&lt;=ROUND(SUM($J$5:$J$312)*0.8,0),"中位60%","下位20%")))</f>
        <v/>
      </c>
      <c r="M87" s="15" t="str">
        <f aca="false">IF(F87="あり","◎","")</f>
        <v/>
      </c>
      <c r="N87" s="15" t="str">
        <f aca="false">IF(OR(LEFT(G87,1)="A",LEFT(G87,1)="B"),"◎","")</f>
        <v/>
      </c>
      <c r="O87" s="19"/>
      <c r="P87" s="19"/>
      <c r="Q87" s="19"/>
      <c r="R87" s="19"/>
      <c r="S87" s="19"/>
      <c r="T87" s="19"/>
      <c r="U87" s="19"/>
      <c r="V87" s="19"/>
      <c r="W87" s="15" t="str">
        <f aca="false">IF((N(Q87)+N(R87)+N(S87)+N(T87)+N(U87)+N(V87))=0,"",IF(AND((N(Q87)+N(R87)+N(T87))&gt;=2,(N(Q87)+N(R87)+N(S87)+N(T87)+N(U87)+N(V87))&gt;=4),"高",IF(AND((N(Q87)+N(R87)+N(T87))&gt;=1,(N(Q87)+N(R87)+N(S87)+N(T87)+N(U87)+N(V87))=3),"中","低")))</f>
        <v/>
      </c>
      <c r="X87" s="15" t="str">
        <f aca="false">IF(L87="中位60%",IF(W87="高",3,IF(W87="中",2,IF(W87="低",1,0)))+IF(M87="◎",1,0)+IF(N87="◎",1,0)+IF(O87="○",1,0)+IF(P87="○",1,0),"")</f>
        <v/>
      </c>
      <c r="Y87" s="20"/>
      <c r="Z87" s="18"/>
      <c r="AA87" s="20"/>
      <c r="AB87" s="20"/>
    </row>
    <row r="88" customFormat="false" ht="15" hidden="false" customHeight="false" outlineLevel="0" collapsed="false">
      <c r="A88" s="13" t="s">
        <v>251</v>
      </c>
      <c r="B88" s="14" t="s">
        <v>252</v>
      </c>
      <c r="C88" s="15" t="s">
        <v>61</v>
      </c>
      <c r="D88" s="15" t="n">
        <v>5</v>
      </c>
      <c r="E88" s="14" t="s">
        <v>101</v>
      </c>
      <c r="F88" s="15" t="s">
        <v>63</v>
      </c>
      <c r="G88" s="16" t="s">
        <v>76</v>
      </c>
      <c r="H88" s="17" t="n">
        <v>1</v>
      </c>
      <c r="I88" s="18"/>
      <c r="J88" s="15" t="n">
        <f aca="false">IF(AND(H88=1,N(I88)&gt;0),1,0)</f>
        <v>0</v>
      </c>
      <c r="K88" s="15" t="str">
        <f aca="false">IF(J88=1,SUMPRODUCT(($J$5:$J$312=1)*(N($I$5:$I$312)&gt;N(I88)))+1,"")</f>
        <v/>
      </c>
      <c r="L88" s="15" t="str">
        <f aca="false">IF(J88&lt;&gt;1,"",IF(K88&lt;=ROUND(SUM($J$5:$J$312)*0.2,0),"上位20%",IF(K88&lt;=ROUND(SUM($J$5:$J$312)*0.8,0),"中位60%","下位20%")))</f>
        <v/>
      </c>
      <c r="M88" s="15" t="str">
        <f aca="false">IF(F88="あり","◎","")</f>
        <v>◎</v>
      </c>
      <c r="N88" s="15" t="str">
        <f aca="false">IF(OR(LEFT(G88,1)="A",LEFT(G88,1)="B"),"◎","")</f>
        <v>◎</v>
      </c>
      <c r="O88" s="19"/>
      <c r="P88" s="19"/>
      <c r="Q88" s="19"/>
      <c r="R88" s="19"/>
      <c r="S88" s="19"/>
      <c r="T88" s="19"/>
      <c r="U88" s="19"/>
      <c r="V88" s="19"/>
      <c r="W88" s="15" t="str">
        <f aca="false">IF((N(Q88)+N(R88)+N(S88)+N(T88)+N(U88)+N(V88))=0,"",IF(AND((N(Q88)+N(R88)+N(T88))&gt;=2,(N(Q88)+N(R88)+N(S88)+N(T88)+N(U88)+N(V88))&gt;=4),"高",IF(AND((N(Q88)+N(R88)+N(T88))&gt;=1,(N(Q88)+N(R88)+N(S88)+N(T88)+N(U88)+N(V88))=3),"中","低")))</f>
        <v/>
      </c>
      <c r="X88" s="15" t="str">
        <f aca="false">IF(L88="中位60%",IF(W88="高",3,IF(W88="中",2,IF(W88="低",1,0)))+IF(M88="◎",1,0)+IF(N88="◎",1,0)+IF(O88="○",1,0)+IF(P88="○",1,0),"")</f>
        <v/>
      </c>
      <c r="Y88" s="20"/>
      <c r="Z88" s="18"/>
      <c r="AA88" s="20"/>
      <c r="AB88" s="20"/>
    </row>
    <row r="89" customFormat="false" ht="15" hidden="false" customHeight="false" outlineLevel="0" collapsed="false">
      <c r="A89" s="13" t="s">
        <v>253</v>
      </c>
      <c r="B89" s="14" t="s">
        <v>254</v>
      </c>
      <c r="C89" s="15" t="s">
        <v>61</v>
      </c>
      <c r="D89" s="15" t="n">
        <v>6</v>
      </c>
      <c r="E89" s="14" t="s">
        <v>101</v>
      </c>
      <c r="F89" s="15" t="s">
        <v>63</v>
      </c>
      <c r="G89" s="14"/>
      <c r="H89" s="17" t="n">
        <v>1</v>
      </c>
      <c r="I89" s="18"/>
      <c r="J89" s="15" t="n">
        <f aca="false">IF(AND(H89=1,N(I89)&gt;0),1,0)</f>
        <v>0</v>
      </c>
      <c r="K89" s="15" t="str">
        <f aca="false">IF(J89=1,SUMPRODUCT(($J$5:$J$312=1)*(N($I$5:$I$312)&gt;N(I89)))+1,"")</f>
        <v/>
      </c>
      <c r="L89" s="15" t="str">
        <f aca="false">IF(J89&lt;&gt;1,"",IF(K89&lt;=ROUND(SUM($J$5:$J$312)*0.2,0),"上位20%",IF(K89&lt;=ROUND(SUM($J$5:$J$312)*0.8,0),"中位60%","下位20%")))</f>
        <v/>
      </c>
      <c r="M89" s="15" t="str">
        <f aca="false">IF(F89="あり","◎","")</f>
        <v>◎</v>
      </c>
      <c r="N89" s="15" t="str">
        <f aca="false">IF(OR(LEFT(G89,1)="A",LEFT(G89,1)="B"),"◎","")</f>
        <v/>
      </c>
      <c r="O89" s="19"/>
      <c r="P89" s="19"/>
      <c r="Q89" s="19"/>
      <c r="R89" s="19"/>
      <c r="S89" s="19"/>
      <c r="T89" s="19"/>
      <c r="U89" s="19"/>
      <c r="V89" s="19"/>
      <c r="W89" s="15" t="str">
        <f aca="false">IF((N(Q89)+N(R89)+N(S89)+N(T89)+N(U89)+N(V89))=0,"",IF(AND((N(Q89)+N(R89)+N(T89))&gt;=2,(N(Q89)+N(R89)+N(S89)+N(T89)+N(U89)+N(V89))&gt;=4),"高",IF(AND((N(Q89)+N(R89)+N(T89))&gt;=1,(N(Q89)+N(R89)+N(S89)+N(T89)+N(U89)+N(V89))=3),"中","低")))</f>
        <v/>
      </c>
      <c r="X89" s="15" t="str">
        <f aca="false">IF(L89="中位60%",IF(W89="高",3,IF(W89="中",2,IF(W89="低",1,0)))+IF(M89="◎",1,0)+IF(N89="◎",1,0)+IF(O89="○",1,0)+IF(P89="○",1,0),"")</f>
        <v/>
      </c>
      <c r="Y89" s="20"/>
      <c r="Z89" s="18"/>
      <c r="AA89" s="20"/>
      <c r="AB89" s="20"/>
    </row>
    <row r="90" customFormat="false" ht="15" hidden="false" customHeight="false" outlineLevel="0" collapsed="false">
      <c r="A90" s="13" t="s">
        <v>255</v>
      </c>
      <c r="B90" s="14" t="s">
        <v>256</v>
      </c>
      <c r="C90" s="15" t="s">
        <v>61</v>
      </c>
      <c r="D90" s="15" t="n">
        <v>2</v>
      </c>
      <c r="E90" s="14" t="s">
        <v>62</v>
      </c>
      <c r="F90" s="15" t="s">
        <v>63</v>
      </c>
      <c r="G90" s="16" t="s">
        <v>64</v>
      </c>
      <c r="H90" s="17" t="n">
        <v>1</v>
      </c>
      <c r="I90" s="18"/>
      <c r="J90" s="15" t="n">
        <f aca="false">IF(AND(H90=1,N(I90)&gt;0),1,0)</f>
        <v>0</v>
      </c>
      <c r="K90" s="15" t="str">
        <f aca="false">IF(J90=1,SUMPRODUCT(($J$5:$J$312=1)*(N($I$5:$I$312)&gt;N(I90)))+1,"")</f>
        <v/>
      </c>
      <c r="L90" s="15" t="str">
        <f aca="false">IF(J90&lt;&gt;1,"",IF(K90&lt;=ROUND(SUM($J$5:$J$312)*0.2,0),"上位20%",IF(K90&lt;=ROUND(SUM($J$5:$J$312)*0.8,0),"中位60%","下位20%")))</f>
        <v/>
      </c>
      <c r="M90" s="15" t="str">
        <f aca="false">IF(F90="あり","◎","")</f>
        <v>◎</v>
      </c>
      <c r="N90" s="15" t="str">
        <f aca="false">IF(OR(LEFT(G90,1)="A",LEFT(G90,1)="B"),"◎","")</f>
        <v/>
      </c>
      <c r="O90" s="19"/>
      <c r="P90" s="19"/>
      <c r="Q90" s="19"/>
      <c r="R90" s="19"/>
      <c r="S90" s="19"/>
      <c r="T90" s="19"/>
      <c r="U90" s="19"/>
      <c r="V90" s="19"/>
      <c r="W90" s="15" t="str">
        <f aca="false">IF((N(Q90)+N(R90)+N(S90)+N(T90)+N(U90)+N(V90))=0,"",IF(AND((N(Q90)+N(R90)+N(T90))&gt;=2,(N(Q90)+N(R90)+N(S90)+N(T90)+N(U90)+N(V90))&gt;=4),"高",IF(AND((N(Q90)+N(R90)+N(T90))&gt;=1,(N(Q90)+N(R90)+N(S90)+N(T90)+N(U90)+N(V90))=3),"中","低")))</f>
        <v/>
      </c>
      <c r="X90" s="15" t="str">
        <f aca="false">IF(L90="中位60%",IF(W90="高",3,IF(W90="中",2,IF(W90="低",1,0)))+IF(M90="◎",1,0)+IF(N90="◎",1,0)+IF(O90="○",1,0)+IF(P90="○",1,0),"")</f>
        <v/>
      </c>
      <c r="Y90" s="20"/>
      <c r="Z90" s="18"/>
      <c r="AA90" s="20"/>
      <c r="AB90" s="20"/>
    </row>
    <row r="91" customFormat="false" ht="15" hidden="false" customHeight="false" outlineLevel="0" collapsed="false">
      <c r="A91" s="13" t="s">
        <v>257</v>
      </c>
      <c r="B91" s="14" t="s">
        <v>258</v>
      </c>
      <c r="C91" s="15" t="s">
        <v>61</v>
      </c>
      <c r="D91" s="15" t="n">
        <v>6</v>
      </c>
      <c r="E91" s="14" t="s">
        <v>94</v>
      </c>
      <c r="F91" s="15" t="s">
        <v>63</v>
      </c>
      <c r="G91" s="14"/>
      <c r="H91" s="17" t="n">
        <v>1</v>
      </c>
      <c r="I91" s="18"/>
      <c r="J91" s="15" t="n">
        <f aca="false">IF(AND(H91=1,N(I91)&gt;0),1,0)</f>
        <v>0</v>
      </c>
      <c r="K91" s="15" t="str">
        <f aca="false">IF(J91=1,SUMPRODUCT(($J$5:$J$312=1)*(N($I$5:$I$312)&gt;N(I91)))+1,"")</f>
        <v/>
      </c>
      <c r="L91" s="15" t="str">
        <f aca="false">IF(J91&lt;&gt;1,"",IF(K91&lt;=ROUND(SUM($J$5:$J$312)*0.2,0),"上位20%",IF(K91&lt;=ROUND(SUM($J$5:$J$312)*0.8,0),"中位60%","下位20%")))</f>
        <v/>
      </c>
      <c r="M91" s="15" t="str">
        <f aca="false">IF(F91="あり","◎","")</f>
        <v>◎</v>
      </c>
      <c r="N91" s="15" t="str">
        <f aca="false">IF(OR(LEFT(G91,1)="A",LEFT(G91,1)="B"),"◎","")</f>
        <v/>
      </c>
      <c r="O91" s="19"/>
      <c r="P91" s="19"/>
      <c r="Q91" s="19"/>
      <c r="R91" s="19"/>
      <c r="S91" s="19"/>
      <c r="T91" s="19"/>
      <c r="U91" s="19"/>
      <c r="V91" s="19"/>
      <c r="W91" s="15" t="str">
        <f aca="false">IF((N(Q91)+N(R91)+N(S91)+N(T91)+N(U91)+N(V91))=0,"",IF(AND((N(Q91)+N(R91)+N(T91))&gt;=2,(N(Q91)+N(R91)+N(S91)+N(T91)+N(U91)+N(V91))&gt;=4),"高",IF(AND((N(Q91)+N(R91)+N(T91))&gt;=1,(N(Q91)+N(R91)+N(S91)+N(T91)+N(U91)+N(V91))=3),"中","低")))</f>
        <v/>
      </c>
      <c r="X91" s="15" t="str">
        <f aca="false">IF(L91="中位60%",IF(W91="高",3,IF(W91="中",2,IF(W91="低",1,0)))+IF(M91="◎",1,0)+IF(N91="◎",1,0)+IF(O91="○",1,0)+IF(P91="○",1,0),"")</f>
        <v/>
      </c>
      <c r="Y91" s="20"/>
      <c r="Z91" s="18"/>
      <c r="AA91" s="20"/>
      <c r="AB91" s="20"/>
    </row>
    <row r="92" customFormat="false" ht="15" hidden="false" customHeight="false" outlineLevel="0" collapsed="false">
      <c r="A92" s="13" t="s">
        <v>259</v>
      </c>
      <c r="B92" s="14" t="s">
        <v>260</v>
      </c>
      <c r="C92" s="15" t="s">
        <v>61</v>
      </c>
      <c r="D92" s="15" t="n">
        <v>7</v>
      </c>
      <c r="E92" s="14" t="s">
        <v>79</v>
      </c>
      <c r="F92" s="15" t="s">
        <v>63</v>
      </c>
      <c r="G92" s="16" t="s">
        <v>110</v>
      </c>
      <c r="H92" s="17" t="n">
        <v>1</v>
      </c>
      <c r="I92" s="18"/>
      <c r="J92" s="15" t="n">
        <f aca="false">IF(AND(H92=1,N(I92)&gt;0),1,0)</f>
        <v>0</v>
      </c>
      <c r="K92" s="15" t="str">
        <f aca="false">IF(J92=1,SUMPRODUCT(($J$5:$J$312=1)*(N($I$5:$I$312)&gt;N(I92)))+1,"")</f>
        <v/>
      </c>
      <c r="L92" s="15" t="str">
        <f aca="false">IF(J92&lt;&gt;1,"",IF(K92&lt;=ROUND(SUM($J$5:$J$312)*0.2,0),"上位20%",IF(K92&lt;=ROUND(SUM($J$5:$J$312)*0.8,0),"中位60%","下位20%")))</f>
        <v/>
      </c>
      <c r="M92" s="15" t="str">
        <f aca="false">IF(F92="あり","◎","")</f>
        <v>◎</v>
      </c>
      <c r="N92" s="15" t="str">
        <f aca="false">IF(OR(LEFT(G92,1)="A",LEFT(G92,1)="B"),"◎","")</f>
        <v>◎</v>
      </c>
      <c r="O92" s="19"/>
      <c r="P92" s="19"/>
      <c r="Q92" s="19"/>
      <c r="R92" s="19"/>
      <c r="S92" s="19"/>
      <c r="T92" s="19"/>
      <c r="U92" s="19"/>
      <c r="V92" s="19"/>
      <c r="W92" s="15" t="str">
        <f aca="false">IF((N(Q92)+N(R92)+N(S92)+N(T92)+N(U92)+N(V92))=0,"",IF(AND((N(Q92)+N(R92)+N(T92))&gt;=2,(N(Q92)+N(R92)+N(S92)+N(T92)+N(U92)+N(V92))&gt;=4),"高",IF(AND((N(Q92)+N(R92)+N(T92))&gt;=1,(N(Q92)+N(R92)+N(S92)+N(T92)+N(U92)+N(V92))=3),"中","低")))</f>
        <v/>
      </c>
      <c r="X92" s="15" t="str">
        <f aca="false">IF(L92="中位60%",IF(W92="高",3,IF(W92="中",2,IF(W92="低",1,0)))+IF(M92="◎",1,0)+IF(N92="◎",1,0)+IF(O92="○",1,0)+IF(P92="○",1,0),"")</f>
        <v/>
      </c>
      <c r="Y92" s="20"/>
      <c r="Z92" s="18"/>
      <c r="AA92" s="20"/>
      <c r="AB92" s="20"/>
    </row>
    <row r="93" customFormat="false" ht="15" hidden="false" customHeight="false" outlineLevel="0" collapsed="false">
      <c r="A93" s="13" t="s">
        <v>261</v>
      </c>
      <c r="B93" s="14" t="s">
        <v>262</v>
      </c>
      <c r="C93" s="15" t="s">
        <v>61</v>
      </c>
      <c r="D93" s="15" t="n">
        <v>7</v>
      </c>
      <c r="E93" s="14" t="s">
        <v>79</v>
      </c>
      <c r="F93" s="15" t="s">
        <v>63</v>
      </c>
      <c r="G93" s="16" t="s">
        <v>88</v>
      </c>
      <c r="H93" s="17" t="n">
        <v>1</v>
      </c>
      <c r="I93" s="18"/>
      <c r="J93" s="15" t="n">
        <f aca="false">IF(AND(H93=1,N(I93)&gt;0),1,0)</f>
        <v>0</v>
      </c>
      <c r="K93" s="15" t="str">
        <f aca="false">IF(J93=1,SUMPRODUCT(($J$5:$J$312=1)*(N($I$5:$I$312)&gt;N(I93)))+1,"")</f>
        <v/>
      </c>
      <c r="L93" s="15" t="str">
        <f aca="false">IF(J93&lt;&gt;1,"",IF(K93&lt;=ROUND(SUM($J$5:$J$312)*0.2,0),"上位20%",IF(K93&lt;=ROUND(SUM($J$5:$J$312)*0.8,0),"中位60%","下位20%")))</f>
        <v/>
      </c>
      <c r="M93" s="15" t="str">
        <f aca="false">IF(F93="あり","◎","")</f>
        <v>◎</v>
      </c>
      <c r="N93" s="15" t="str">
        <f aca="false">IF(OR(LEFT(G93,1)="A",LEFT(G93,1)="B"),"◎","")</f>
        <v/>
      </c>
      <c r="O93" s="19"/>
      <c r="P93" s="19"/>
      <c r="Q93" s="19"/>
      <c r="R93" s="19"/>
      <c r="S93" s="19"/>
      <c r="T93" s="19"/>
      <c r="U93" s="19"/>
      <c r="V93" s="19"/>
      <c r="W93" s="15" t="str">
        <f aca="false">IF((N(Q93)+N(R93)+N(S93)+N(T93)+N(U93)+N(V93))=0,"",IF(AND((N(Q93)+N(R93)+N(T93))&gt;=2,(N(Q93)+N(R93)+N(S93)+N(T93)+N(U93)+N(V93))&gt;=4),"高",IF(AND((N(Q93)+N(R93)+N(T93))&gt;=1,(N(Q93)+N(R93)+N(S93)+N(T93)+N(U93)+N(V93))=3),"中","低")))</f>
        <v/>
      </c>
      <c r="X93" s="15" t="str">
        <f aca="false">IF(L93="中位60%",IF(W93="高",3,IF(W93="中",2,IF(W93="低",1,0)))+IF(M93="◎",1,0)+IF(N93="◎",1,0)+IF(O93="○",1,0)+IF(P93="○",1,0),"")</f>
        <v/>
      </c>
      <c r="Y93" s="20"/>
      <c r="Z93" s="18"/>
      <c r="AA93" s="20"/>
      <c r="AB93" s="20"/>
    </row>
    <row r="94" customFormat="false" ht="15" hidden="false" customHeight="false" outlineLevel="0" collapsed="false">
      <c r="A94" s="13" t="s">
        <v>263</v>
      </c>
      <c r="B94" s="14" t="s">
        <v>264</v>
      </c>
      <c r="C94" s="15" t="s">
        <v>61</v>
      </c>
      <c r="D94" s="15" t="n">
        <v>7</v>
      </c>
      <c r="E94" s="14" t="s">
        <v>83</v>
      </c>
      <c r="F94" s="15" t="s">
        <v>63</v>
      </c>
      <c r="G94" s="16" t="s">
        <v>64</v>
      </c>
      <c r="H94" s="17" t="n">
        <v>1</v>
      </c>
      <c r="I94" s="18"/>
      <c r="J94" s="15" t="n">
        <f aca="false">IF(AND(H94=1,N(I94)&gt;0),1,0)</f>
        <v>0</v>
      </c>
      <c r="K94" s="15" t="str">
        <f aca="false">IF(J94=1,SUMPRODUCT(($J$5:$J$312=1)*(N($I$5:$I$312)&gt;N(I94)))+1,"")</f>
        <v/>
      </c>
      <c r="L94" s="15" t="str">
        <f aca="false">IF(J94&lt;&gt;1,"",IF(K94&lt;=ROUND(SUM($J$5:$J$312)*0.2,0),"上位20%",IF(K94&lt;=ROUND(SUM($J$5:$J$312)*0.8,0),"中位60%","下位20%")))</f>
        <v/>
      </c>
      <c r="M94" s="15" t="str">
        <f aca="false">IF(F94="あり","◎","")</f>
        <v>◎</v>
      </c>
      <c r="N94" s="15" t="str">
        <f aca="false">IF(OR(LEFT(G94,1)="A",LEFT(G94,1)="B"),"◎","")</f>
        <v/>
      </c>
      <c r="O94" s="19"/>
      <c r="P94" s="19"/>
      <c r="Q94" s="19"/>
      <c r="R94" s="19"/>
      <c r="S94" s="19"/>
      <c r="T94" s="19"/>
      <c r="U94" s="19"/>
      <c r="V94" s="19"/>
      <c r="W94" s="15" t="str">
        <f aca="false">IF((N(Q94)+N(R94)+N(S94)+N(T94)+N(U94)+N(V94))=0,"",IF(AND((N(Q94)+N(R94)+N(T94))&gt;=2,(N(Q94)+N(R94)+N(S94)+N(T94)+N(U94)+N(V94))&gt;=4),"高",IF(AND((N(Q94)+N(R94)+N(T94))&gt;=1,(N(Q94)+N(R94)+N(S94)+N(T94)+N(U94)+N(V94))=3),"中","低")))</f>
        <v/>
      </c>
      <c r="X94" s="15" t="str">
        <f aca="false">IF(L94="中位60%",IF(W94="高",3,IF(W94="中",2,IF(W94="低",1,0)))+IF(M94="◎",1,0)+IF(N94="◎",1,0)+IF(O94="○",1,0)+IF(P94="○",1,0),"")</f>
        <v/>
      </c>
      <c r="Y94" s="20"/>
      <c r="Z94" s="18"/>
      <c r="AA94" s="20"/>
      <c r="AB94" s="20"/>
    </row>
    <row r="95" customFormat="false" ht="15" hidden="false" customHeight="false" outlineLevel="0" collapsed="false">
      <c r="A95" s="13" t="s">
        <v>265</v>
      </c>
      <c r="B95" s="14" t="s">
        <v>266</v>
      </c>
      <c r="C95" s="15" t="s">
        <v>61</v>
      </c>
      <c r="D95" s="15" t="n">
        <v>7</v>
      </c>
      <c r="E95" s="14" t="s">
        <v>83</v>
      </c>
      <c r="F95" s="15" t="s">
        <v>63</v>
      </c>
      <c r="G95" s="16" t="s">
        <v>110</v>
      </c>
      <c r="H95" s="17" t="n">
        <v>1</v>
      </c>
      <c r="I95" s="18"/>
      <c r="J95" s="15" t="n">
        <f aca="false">IF(AND(H95=1,N(I95)&gt;0),1,0)</f>
        <v>0</v>
      </c>
      <c r="K95" s="15" t="str">
        <f aca="false">IF(J95=1,SUMPRODUCT(($J$5:$J$312=1)*(N($I$5:$I$312)&gt;N(I95)))+1,"")</f>
        <v/>
      </c>
      <c r="L95" s="15" t="str">
        <f aca="false">IF(J95&lt;&gt;1,"",IF(K95&lt;=ROUND(SUM($J$5:$J$312)*0.2,0),"上位20%",IF(K95&lt;=ROUND(SUM($J$5:$J$312)*0.8,0),"中位60%","下位20%")))</f>
        <v/>
      </c>
      <c r="M95" s="15" t="str">
        <f aca="false">IF(F95="あり","◎","")</f>
        <v>◎</v>
      </c>
      <c r="N95" s="15" t="str">
        <f aca="false">IF(OR(LEFT(G95,1)="A",LEFT(G95,1)="B"),"◎","")</f>
        <v>◎</v>
      </c>
      <c r="O95" s="19"/>
      <c r="P95" s="19"/>
      <c r="Q95" s="19"/>
      <c r="R95" s="19"/>
      <c r="S95" s="19"/>
      <c r="T95" s="19"/>
      <c r="U95" s="19"/>
      <c r="V95" s="19"/>
      <c r="W95" s="15" t="str">
        <f aca="false">IF((N(Q95)+N(R95)+N(S95)+N(T95)+N(U95)+N(V95))=0,"",IF(AND((N(Q95)+N(R95)+N(T95))&gt;=2,(N(Q95)+N(R95)+N(S95)+N(T95)+N(U95)+N(V95))&gt;=4),"高",IF(AND((N(Q95)+N(R95)+N(T95))&gt;=1,(N(Q95)+N(R95)+N(S95)+N(T95)+N(U95)+N(V95))=3),"中","低")))</f>
        <v/>
      </c>
      <c r="X95" s="15" t="str">
        <f aca="false">IF(L95="中位60%",IF(W95="高",3,IF(W95="中",2,IF(W95="低",1,0)))+IF(M95="◎",1,0)+IF(N95="◎",1,0)+IF(O95="○",1,0)+IF(P95="○",1,0),"")</f>
        <v/>
      </c>
      <c r="Y95" s="20"/>
      <c r="Z95" s="18"/>
      <c r="AA95" s="20"/>
      <c r="AB95" s="20"/>
    </row>
    <row r="96" customFormat="false" ht="15" hidden="false" customHeight="false" outlineLevel="0" collapsed="false">
      <c r="A96" s="13" t="s">
        <v>267</v>
      </c>
      <c r="B96" s="14" t="s">
        <v>268</v>
      </c>
      <c r="C96" s="15" t="s">
        <v>61</v>
      </c>
      <c r="D96" s="15" t="n">
        <v>7</v>
      </c>
      <c r="E96" s="14" t="s">
        <v>75</v>
      </c>
      <c r="F96" s="15" t="s">
        <v>63</v>
      </c>
      <c r="G96" s="16" t="s">
        <v>64</v>
      </c>
      <c r="H96" s="17" t="n">
        <v>1</v>
      </c>
      <c r="I96" s="18"/>
      <c r="J96" s="15" t="n">
        <f aca="false">IF(AND(H96=1,N(I96)&gt;0),1,0)</f>
        <v>0</v>
      </c>
      <c r="K96" s="15" t="str">
        <f aca="false">IF(J96=1,SUMPRODUCT(($J$5:$J$312=1)*(N($I$5:$I$312)&gt;N(I96)))+1,"")</f>
        <v/>
      </c>
      <c r="L96" s="15" t="str">
        <f aca="false">IF(J96&lt;&gt;1,"",IF(K96&lt;=ROUND(SUM($J$5:$J$312)*0.2,0),"上位20%",IF(K96&lt;=ROUND(SUM($J$5:$J$312)*0.8,0),"中位60%","下位20%")))</f>
        <v/>
      </c>
      <c r="M96" s="15" t="str">
        <f aca="false">IF(F96="あり","◎","")</f>
        <v>◎</v>
      </c>
      <c r="N96" s="15" t="str">
        <f aca="false">IF(OR(LEFT(G96,1)="A",LEFT(G96,1)="B"),"◎","")</f>
        <v/>
      </c>
      <c r="O96" s="19"/>
      <c r="P96" s="19"/>
      <c r="Q96" s="19"/>
      <c r="R96" s="19"/>
      <c r="S96" s="19"/>
      <c r="T96" s="19"/>
      <c r="U96" s="19"/>
      <c r="V96" s="19"/>
      <c r="W96" s="15" t="str">
        <f aca="false">IF((N(Q96)+N(R96)+N(S96)+N(T96)+N(U96)+N(V96))=0,"",IF(AND((N(Q96)+N(R96)+N(T96))&gt;=2,(N(Q96)+N(R96)+N(S96)+N(T96)+N(U96)+N(V96))&gt;=4),"高",IF(AND((N(Q96)+N(R96)+N(T96))&gt;=1,(N(Q96)+N(R96)+N(S96)+N(T96)+N(U96)+N(V96))=3),"中","低")))</f>
        <v/>
      </c>
      <c r="X96" s="15" t="str">
        <f aca="false">IF(L96="中位60%",IF(W96="高",3,IF(W96="中",2,IF(W96="低",1,0)))+IF(M96="◎",1,0)+IF(N96="◎",1,0)+IF(O96="○",1,0)+IF(P96="○",1,0),"")</f>
        <v/>
      </c>
      <c r="Y96" s="20"/>
      <c r="Z96" s="18"/>
      <c r="AA96" s="20"/>
      <c r="AB96" s="20"/>
    </row>
    <row r="97" customFormat="false" ht="15" hidden="false" customHeight="false" outlineLevel="0" collapsed="false">
      <c r="A97" s="13" t="s">
        <v>269</v>
      </c>
      <c r="B97" s="14" t="s">
        <v>270</v>
      </c>
      <c r="C97" s="15" t="s">
        <v>61</v>
      </c>
      <c r="D97" s="15" t="n">
        <v>7</v>
      </c>
      <c r="E97" s="14" t="s">
        <v>101</v>
      </c>
      <c r="F97" s="15" t="s">
        <v>63</v>
      </c>
      <c r="G97" s="16" t="s">
        <v>110</v>
      </c>
      <c r="H97" s="17" t="n">
        <v>1</v>
      </c>
      <c r="I97" s="18"/>
      <c r="J97" s="15" t="n">
        <f aca="false">IF(AND(H97=1,N(I97)&gt;0),1,0)</f>
        <v>0</v>
      </c>
      <c r="K97" s="15" t="str">
        <f aca="false">IF(J97=1,SUMPRODUCT(($J$5:$J$312=1)*(N($I$5:$I$312)&gt;N(I97)))+1,"")</f>
        <v/>
      </c>
      <c r="L97" s="15" t="str">
        <f aca="false">IF(J97&lt;&gt;1,"",IF(K97&lt;=ROUND(SUM($J$5:$J$312)*0.2,0),"上位20%",IF(K97&lt;=ROUND(SUM($J$5:$J$312)*0.8,0),"中位60%","下位20%")))</f>
        <v/>
      </c>
      <c r="M97" s="15" t="str">
        <f aca="false">IF(F97="あり","◎","")</f>
        <v>◎</v>
      </c>
      <c r="N97" s="15" t="str">
        <f aca="false">IF(OR(LEFT(G97,1)="A",LEFT(G97,1)="B"),"◎","")</f>
        <v>◎</v>
      </c>
      <c r="O97" s="19"/>
      <c r="P97" s="19"/>
      <c r="Q97" s="19"/>
      <c r="R97" s="19"/>
      <c r="S97" s="19"/>
      <c r="T97" s="19"/>
      <c r="U97" s="19"/>
      <c r="V97" s="19"/>
      <c r="W97" s="15" t="str">
        <f aca="false">IF((N(Q97)+N(R97)+N(S97)+N(T97)+N(U97)+N(V97))=0,"",IF(AND((N(Q97)+N(R97)+N(T97))&gt;=2,(N(Q97)+N(R97)+N(S97)+N(T97)+N(U97)+N(V97))&gt;=4),"高",IF(AND((N(Q97)+N(R97)+N(T97))&gt;=1,(N(Q97)+N(R97)+N(S97)+N(T97)+N(U97)+N(V97))=3),"中","低")))</f>
        <v/>
      </c>
      <c r="X97" s="15" t="str">
        <f aca="false">IF(L97="中位60%",IF(W97="高",3,IF(W97="中",2,IF(W97="低",1,0)))+IF(M97="◎",1,0)+IF(N97="◎",1,0)+IF(O97="○",1,0)+IF(P97="○",1,0),"")</f>
        <v/>
      </c>
      <c r="Y97" s="20"/>
      <c r="Z97" s="18"/>
      <c r="AA97" s="20"/>
      <c r="AB97" s="20"/>
    </row>
    <row r="98" customFormat="false" ht="15" hidden="false" customHeight="false" outlineLevel="0" collapsed="false">
      <c r="A98" s="13" t="s">
        <v>271</v>
      </c>
      <c r="B98" s="14" t="s">
        <v>272</v>
      </c>
      <c r="C98" s="15" t="s">
        <v>61</v>
      </c>
      <c r="D98" s="15" t="n">
        <v>7</v>
      </c>
      <c r="E98" s="14" t="s">
        <v>91</v>
      </c>
      <c r="F98" s="15" t="s">
        <v>80</v>
      </c>
      <c r="G98" s="16" t="s">
        <v>88</v>
      </c>
      <c r="H98" s="17" t="n">
        <v>1</v>
      </c>
      <c r="I98" s="18"/>
      <c r="J98" s="15" t="n">
        <f aca="false">IF(AND(H98=1,N(I98)&gt;0),1,0)</f>
        <v>0</v>
      </c>
      <c r="K98" s="15" t="str">
        <f aca="false">IF(J98=1,SUMPRODUCT(($J$5:$J$312=1)*(N($I$5:$I$312)&gt;N(I98)))+1,"")</f>
        <v/>
      </c>
      <c r="L98" s="15" t="str">
        <f aca="false">IF(J98&lt;&gt;1,"",IF(K98&lt;=ROUND(SUM($J$5:$J$312)*0.2,0),"上位20%",IF(K98&lt;=ROUND(SUM($J$5:$J$312)*0.8,0),"中位60%","下位20%")))</f>
        <v/>
      </c>
      <c r="M98" s="15" t="str">
        <f aca="false">IF(F98="あり","◎","")</f>
        <v/>
      </c>
      <c r="N98" s="15" t="str">
        <f aca="false">IF(OR(LEFT(G98,1)="A",LEFT(G98,1)="B"),"◎","")</f>
        <v/>
      </c>
      <c r="O98" s="19"/>
      <c r="P98" s="19"/>
      <c r="Q98" s="19"/>
      <c r="R98" s="19"/>
      <c r="S98" s="19"/>
      <c r="T98" s="19"/>
      <c r="U98" s="19"/>
      <c r="V98" s="19"/>
      <c r="W98" s="15" t="str">
        <f aca="false">IF((N(Q98)+N(R98)+N(S98)+N(T98)+N(U98)+N(V98))=0,"",IF(AND((N(Q98)+N(R98)+N(T98))&gt;=2,(N(Q98)+N(R98)+N(S98)+N(T98)+N(U98)+N(V98))&gt;=4),"高",IF(AND((N(Q98)+N(R98)+N(T98))&gt;=1,(N(Q98)+N(R98)+N(S98)+N(T98)+N(U98)+N(V98))=3),"中","低")))</f>
        <v/>
      </c>
      <c r="X98" s="15" t="str">
        <f aca="false">IF(L98="中位60%",IF(W98="高",3,IF(W98="中",2,IF(W98="低",1,0)))+IF(M98="◎",1,0)+IF(N98="◎",1,0)+IF(O98="○",1,0)+IF(P98="○",1,0),"")</f>
        <v/>
      </c>
      <c r="Y98" s="20"/>
      <c r="Z98" s="18"/>
      <c r="AA98" s="20"/>
      <c r="AB98" s="20"/>
    </row>
    <row r="99" customFormat="false" ht="15" hidden="false" customHeight="false" outlineLevel="0" collapsed="false">
      <c r="A99" s="13" t="s">
        <v>273</v>
      </c>
      <c r="B99" s="14" t="s">
        <v>274</v>
      </c>
      <c r="C99" s="15" t="s">
        <v>61</v>
      </c>
      <c r="D99" s="15" t="n">
        <v>7</v>
      </c>
      <c r="E99" s="14" t="s">
        <v>75</v>
      </c>
      <c r="F99" s="15" t="s">
        <v>63</v>
      </c>
      <c r="G99" s="16" t="s">
        <v>76</v>
      </c>
      <c r="H99" s="17" t="n">
        <v>1</v>
      </c>
      <c r="I99" s="18"/>
      <c r="J99" s="15" t="n">
        <f aca="false">IF(AND(H99=1,N(I99)&gt;0),1,0)</f>
        <v>0</v>
      </c>
      <c r="K99" s="15" t="str">
        <f aca="false">IF(J99=1,SUMPRODUCT(($J$5:$J$312=1)*(N($I$5:$I$312)&gt;N(I99)))+1,"")</f>
        <v/>
      </c>
      <c r="L99" s="15" t="str">
        <f aca="false">IF(J99&lt;&gt;1,"",IF(K99&lt;=ROUND(SUM($J$5:$J$312)*0.2,0),"上位20%",IF(K99&lt;=ROUND(SUM($J$5:$J$312)*0.8,0),"中位60%","下位20%")))</f>
        <v/>
      </c>
      <c r="M99" s="15" t="str">
        <f aca="false">IF(F99="あり","◎","")</f>
        <v>◎</v>
      </c>
      <c r="N99" s="15" t="str">
        <f aca="false">IF(OR(LEFT(G99,1)="A",LEFT(G99,1)="B"),"◎","")</f>
        <v>◎</v>
      </c>
      <c r="O99" s="19"/>
      <c r="P99" s="19"/>
      <c r="Q99" s="19"/>
      <c r="R99" s="19"/>
      <c r="S99" s="19"/>
      <c r="T99" s="19"/>
      <c r="U99" s="19"/>
      <c r="V99" s="19"/>
      <c r="W99" s="15" t="str">
        <f aca="false">IF((N(Q99)+N(R99)+N(S99)+N(T99)+N(U99)+N(V99))=0,"",IF(AND((N(Q99)+N(R99)+N(T99))&gt;=2,(N(Q99)+N(R99)+N(S99)+N(T99)+N(U99)+N(V99))&gt;=4),"高",IF(AND((N(Q99)+N(R99)+N(T99))&gt;=1,(N(Q99)+N(R99)+N(S99)+N(T99)+N(U99)+N(V99))=3),"中","低")))</f>
        <v/>
      </c>
      <c r="X99" s="15" t="str">
        <f aca="false">IF(L99="中位60%",IF(W99="高",3,IF(W99="中",2,IF(W99="低",1,0)))+IF(M99="◎",1,0)+IF(N99="◎",1,0)+IF(O99="○",1,0)+IF(P99="○",1,0),"")</f>
        <v/>
      </c>
      <c r="Y99" s="20"/>
      <c r="Z99" s="18"/>
      <c r="AA99" s="20"/>
      <c r="AB99" s="20"/>
    </row>
    <row r="100" customFormat="false" ht="15" hidden="false" customHeight="false" outlineLevel="0" collapsed="false">
      <c r="A100" s="13" t="s">
        <v>275</v>
      </c>
      <c r="B100" s="14" t="s">
        <v>276</v>
      </c>
      <c r="C100" s="15" t="s">
        <v>61</v>
      </c>
      <c r="D100" s="15" t="n">
        <v>7</v>
      </c>
      <c r="E100" s="14" t="s">
        <v>222</v>
      </c>
      <c r="F100" s="15" t="s">
        <v>63</v>
      </c>
      <c r="G100" s="16" t="s">
        <v>88</v>
      </c>
      <c r="H100" s="17" t="n">
        <v>1</v>
      </c>
      <c r="I100" s="18"/>
      <c r="J100" s="15" t="n">
        <f aca="false">IF(AND(H100=1,N(I100)&gt;0),1,0)</f>
        <v>0</v>
      </c>
      <c r="K100" s="15" t="str">
        <f aca="false">IF(J100=1,SUMPRODUCT(($J$5:$J$312=1)*(N($I$5:$I$312)&gt;N(I100)))+1,"")</f>
        <v/>
      </c>
      <c r="L100" s="15" t="str">
        <f aca="false">IF(J100&lt;&gt;1,"",IF(K100&lt;=ROUND(SUM($J$5:$J$312)*0.2,0),"上位20%",IF(K100&lt;=ROUND(SUM($J$5:$J$312)*0.8,0),"中位60%","下位20%")))</f>
        <v/>
      </c>
      <c r="M100" s="15" t="str">
        <f aca="false">IF(F100="あり","◎","")</f>
        <v>◎</v>
      </c>
      <c r="N100" s="15" t="str">
        <f aca="false">IF(OR(LEFT(G100,1)="A",LEFT(G100,1)="B"),"◎","")</f>
        <v/>
      </c>
      <c r="O100" s="19"/>
      <c r="P100" s="19"/>
      <c r="Q100" s="19"/>
      <c r="R100" s="19"/>
      <c r="S100" s="19"/>
      <c r="T100" s="19"/>
      <c r="U100" s="19"/>
      <c r="V100" s="19"/>
      <c r="W100" s="15" t="str">
        <f aca="false">IF((N(Q100)+N(R100)+N(S100)+N(T100)+N(U100)+N(V100))=0,"",IF(AND((N(Q100)+N(R100)+N(T100))&gt;=2,(N(Q100)+N(R100)+N(S100)+N(T100)+N(U100)+N(V100))&gt;=4),"高",IF(AND((N(Q100)+N(R100)+N(T100))&gt;=1,(N(Q100)+N(R100)+N(S100)+N(T100)+N(U100)+N(V100))=3),"中","低")))</f>
        <v/>
      </c>
      <c r="X100" s="15" t="str">
        <f aca="false">IF(L100="中位60%",IF(W100="高",3,IF(W100="中",2,IF(W100="低",1,0)))+IF(M100="◎",1,0)+IF(N100="◎",1,0)+IF(O100="○",1,0)+IF(P100="○",1,0),"")</f>
        <v/>
      </c>
      <c r="Y100" s="20"/>
      <c r="Z100" s="18"/>
      <c r="AA100" s="20"/>
      <c r="AB100" s="20"/>
    </row>
    <row r="101" customFormat="false" ht="15" hidden="false" customHeight="false" outlineLevel="0" collapsed="false">
      <c r="A101" s="13" t="s">
        <v>277</v>
      </c>
      <c r="B101" s="14" t="s">
        <v>278</v>
      </c>
      <c r="C101" s="15" t="s">
        <v>61</v>
      </c>
      <c r="D101" s="15" t="n">
        <v>7</v>
      </c>
      <c r="E101" s="14" t="s">
        <v>79</v>
      </c>
      <c r="F101" s="15" t="s">
        <v>80</v>
      </c>
      <c r="G101" s="16" t="s">
        <v>76</v>
      </c>
      <c r="H101" s="17" t="n">
        <v>1</v>
      </c>
      <c r="I101" s="18"/>
      <c r="J101" s="15" t="n">
        <f aca="false">IF(AND(H101=1,N(I101)&gt;0),1,0)</f>
        <v>0</v>
      </c>
      <c r="K101" s="15" t="str">
        <f aca="false">IF(J101=1,SUMPRODUCT(($J$5:$J$312=1)*(N($I$5:$I$312)&gt;N(I101)))+1,"")</f>
        <v/>
      </c>
      <c r="L101" s="15" t="str">
        <f aca="false">IF(J101&lt;&gt;1,"",IF(K101&lt;=ROUND(SUM($J$5:$J$312)*0.2,0),"上位20%",IF(K101&lt;=ROUND(SUM($J$5:$J$312)*0.8,0),"中位60%","下位20%")))</f>
        <v/>
      </c>
      <c r="M101" s="15" t="str">
        <f aca="false">IF(F101="あり","◎","")</f>
        <v/>
      </c>
      <c r="N101" s="15" t="str">
        <f aca="false">IF(OR(LEFT(G101,1)="A",LEFT(G101,1)="B"),"◎","")</f>
        <v>◎</v>
      </c>
      <c r="O101" s="19"/>
      <c r="P101" s="19"/>
      <c r="Q101" s="19"/>
      <c r="R101" s="19"/>
      <c r="S101" s="19"/>
      <c r="T101" s="19"/>
      <c r="U101" s="19"/>
      <c r="V101" s="19"/>
      <c r="W101" s="15" t="str">
        <f aca="false">IF((N(Q101)+N(R101)+N(S101)+N(T101)+N(U101)+N(V101))=0,"",IF(AND((N(Q101)+N(R101)+N(T101))&gt;=2,(N(Q101)+N(R101)+N(S101)+N(T101)+N(U101)+N(V101))&gt;=4),"高",IF(AND((N(Q101)+N(R101)+N(T101))&gt;=1,(N(Q101)+N(R101)+N(S101)+N(T101)+N(U101)+N(V101))=3),"中","低")))</f>
        <v/>
      </c>
      <c r="X101" s="15" t="str">
        <f aca="false">IF(L101="中位60%",IF(W101="高",3,IF(W101="中",2,IF(W101="低",1,0)))+IF(M101="◎",1,0)+IF(N101="◎",1,0)+IF(O101="○",1,0)+IF(P101="○",1,0),"")</f>
        <v/>
      </c>
      <c r="Y101" s="20"/>
      <c r="Z101" s="18"/>
      <c r="AA101" s="20"/>
      <c r="AB101" s="20"/>
    </row>
    <row r="102" customFormat="false" ht="15" hidden="false" customHeight="false" outlineLevel="0" collapsed="false">
      <c r="A102" s="13" t="s">
        <v>279</v>
      </c>
      <c r="B102" s="14" t="s">
        <v>280</v>
      </c>
      <c r="C102" s="15" t="s">
        <v>61</v>
      </c>
      <c r="D102" s="15" t="n">
        <v>7</v>
      </c>
      <c r="E102" s="14" t="s">
        <v>101</v>
      </c>
      <c r="F102" s="15" t="s">
        <v>63</v>
      </c>
      <c r="G102" s="16" t="s">
        <v>88</v>
      </c>
      <c r="H102" s="17" t="n">
        <v>1</v>
      </c>
      <c r="I102" s="18"/>
      <c r="J102" s="15" t="n">
        <f aca="false">IF(AND(H102=1,N(I102)&gt;0),1,0)</f>
        <v>0</v>
      </c>
      <c r="K102" s="15" t="str">
        <f aca="false">IF(J102=1,SUMPRODUCT(($J$5:$J$312=1)*(N($I$5:$I$312)&gt;N(I102)))+1,"")</f>
        <v/>
      </c>
      <c r="L102" s="15" t="str">
        <f aca="false">IF(J102&lt;&gt;1,"",IF(K102&lt;=ROUND(SUM($J$5:$J$312)*0.2,0),"上位20%",IF(K102&lt;=ROUND(SUM($J$5:$J$312)*0.8,0),"中位60%","下位20%")))</f>
        <v/>
      </c>
      <c r="M102" s="15" t="str">
        <f aca="false">IF(F102="あり","◎","")</f>
        <v>◎</v>
      </c>
      <c r="N102" s="15" t="str">
        <f aca="false">IF(OR(LEFT(G102,1)="A",LEFT(G102,1)="B"),"◎","")</f>
        <v/>
      </c>
      <c r="O102" s="19"/>
      <c r="P102" s="19"/>
      <c r="Q102" s="19"/>
      <c r="R102" s="19"/>
      <c r="S102" s="19"/>
      <c r="T102" s="19"/>
      <c r="U102" s="19"/>
      <c r="V102" s="19"/>
      <c r="W102" s="15" t="str">
        <f aca="false">IF((N(Q102)+N(R102)+N(S102)+N(T102)+N(U102)+N(V102))=0,"",IF(AND((N(Q102)+N(R102)+N(T102))&gt;=2,(N(Q102)+N(R102)+N(S102)+N(T102)+N(U102)+N(V102))&gt;=4),"高",IF(AND((N(Q102)+N(R102)+N(T102))&gt;=1,(N(Q102)+N(R102)+N(S102)+N(T102)+N(U102)+N(V102))=3),"中","低")))</f>
        <v/>
      </c>
      <c r="X102" s="15" t="str">
        <f aca="false">IF(L102="中位60%",IF(W102="高",3,IF(W102="中",2,IF(W102="低",1,0)))+IF(M102="◎",1,0)+IF(N102="◎",1,0)+IF(O102="○",1,0)+IF(P102="○",1,0),"")</f>
        <v/>
      </c>
      <c r="Y102" s="20"/>
      <c r="Z102" s="18"/>
      <c r="AA102" s="20"/>
      <c r="AB102" s="20"/>
    </row>
    <row r="103" customFormat="false" ht="15" hidden="false" customHeight="false" outlineLevel="0" collapsed="false">
      <c r="A103" s="13" t="s">
        <v>281</v>
      </c>
      <c r="B103" s="14" t="s">
        <v>282</v>
      </c>
      <c r="C103" s="15" t="s">
        <v>61</v>
      </c>
      <c r="D103" s="15" t="n">
        <v>7</v>
      </c>
      <c r="E103" s="14" t="s">
        <v>117</v>
      </c>
      <c r="F103" s="15" t="s">
        <v>63</v>
      </c>
      <c r="G103" s="16" t="s">
        <v>64</v>
      </c>
      <c r="H103" s="17" t="n">
        <v>1</v>
      </c>
      <c r="I103" s="18"/>
      <c r="J103" s="15" t="n">
        <f aca="false">IF(AND(H103=1,N(I103)&gt;0),1,0)</f>
        <v>0</v>
      </c>
      <c r="K103" s="15" t="str">
        <f aca="false">IF(J103=1,SUMPRODUCT(($J$5:$J$312=1)*(N($I$5:$I$312)&gt;N(I103)))+1,"")</f>
        <v/>
      </c>
      <c r="L103" s="15" t="str">
        <f aca="false">IF(J103&lt;&gt;1,"",IF(K103&lt;=ROUND(SUM($J$5:$J$312)*0.2,0),"上位20%",IF(K103&lt;=ROUND(SUM($J$5:$J$312)*0.8,0),"中位60%","下位20%")))</f>
        <v/>
      </c>
      <c r="M103" s="15" t="str">
        <f aca="false">IF(F103="あり","◎","")</f>
        <v>◎</v>
      </c>
      <c r="N103" s="15" t="str">
        <f aca="false">IF(OR(LEFT(G103,1)="A",LEFT(G103,1)="B"),"◎","")</f>
        <v/>
      </c>
      <c r="O103" s="19"/>
      <c r="P103" s="19"/>
      <c r="Q103" s="19"/>
      <c r="R103" s="19"/>
      <c r="S103" s="19"/>
      <c r="T103" s="19"/>
      <c r="U103" s="19"/>
      <c r="V103" s="19"/>
      <c r="W103" s="15" t="str">
        <f aca="false">IF((N(Q103)+N(R103)+N(S103)+N(T103)+N(U103)+N(V103))=0,"",IF(AND((N(Q103)+N(R103)+N(T103))&gt;=2,(N(Q103)+N(R103)+N(S103)+N(T103)+N(U103)+N(V103))&gt;=4),"高",IF(AND((N(Q103)+N(R103)+N(T103))&gt;=1,(N(Q103)+N(R103)+N(S103)+N(T103)+N(U103)+N(V103))=3),"中","低")))</f>
        <v/>
      </c>
      <c r="X103" s="15" t="str">
        <f aca="false">IF(L103="中位60%",IF(W103="高",3,IF(W103="中",2,IF(W103="低",1,0)))+IF(M103="◎",1,0)+IF(N103="◎",1,0)+IF(O103="○",1,0)+IF(P103="○",1,0),"")</f>
        <v/>
      </c>
      <c r="Y103" s="20"/>
      <c r="Z103" s="18"/>
      <c r="AA103" s="20"/>
      <c r="AB103" s="20"/>
    </row>
    <row r="104" customFormat="false" ht="15" hidden="false" customHeight="false" outlineLevel="0" collapsed="false">
      <c r="A104" s="13" t="s">
        <v>283</v>
      </c>
      <c r="B104" s="14" t="s">
        <v>284</v>
      </c>
      <c r="C104" s="15" t="s">
        <v>61</v>
      </c>
      <c r="D104" s="15" t="n">
        <v>7</v>
      </c>
      <c r="E104" s="14" t="s">
        <v>94</v>
      </c>
      <c r="F104" s="15" t="s">
        <v>63</v>
      </c>
      <c r="G104" s="14"/>
      <c r="H104" s="17" t="n">
        <v>1</v>
      </c>
      <c r="I104" s="18"/>
      <c r="J104" s="15" t="n">
        <f aca="false">IF(AND(H104=1,N(I104)&gt;0),1,0)</f>
        <v>0</v>
      </c>
      <c r="K104" s="15" t="str">
        <f aca="false">IF(J104=1,SUMPRODUCT(($J$5:$J$312=1)*(N($I$5:$I$312)&gt;N(I104)))+1,"")</f>
        <v/>
      </c>
      <c r="L104" s="15" t="str">
        <f aca="false">IF(J104&lt;&gt;1,"",IF(K104&lt;=ROUND(SUM($J$5:$J$312)*0.2,0),"上位20%",IF(K104&lt;=ROUND(SUM($J$5:$J$312)*0.8,0),"中位60%","下位20%")))</f>
        <v/>
      </c>
      <c r="M104" s="15" t="str">
        <f aca="false">IF(F104="あり","◎","")</f>
        <v>◎</v>
      </c>
      <c r="N104" s="15" t="str">
        <f aca="false">IF(OR(LEFT(G104,1)="A",LEFT(G104,1)="B"),"◎","")</f>
        <v/>
      </c>
      <c r="O104" s="19"/>
      <c r="P104" s="19"/>
      <c r="Q104" s="19"/>
      <c r="R104" s="19"/>
      <c r="S104" s="19"/>
      <c r="T104" s="19"/>
      <c r="U104" s="19"/>
      <c r="V104" s="19"/>
      <c r="W104" s="15" t="str">
        <f aca="false">IF((N(Q104)+N(R104)+N(S104)+N(T104)+N(U104)+N(V104))=0,"",IF(AND((N(Q104)+N(R104)+N(T104))&gt;=2,(N(Q104)+N(R104)+N(S104)+N(T104)+N(U104)+N(V104))&gt;=4),"高",IF(AND((N(Q104)+N(R104)+N(T104))&gt;=1,(N(Q104)+N(R104)+N(S104)+N(T104)+N(U104)+N(V104))=3),"中","低")))</f>
        <v/>
      </c>
      <c r="X104" s="15" t="str">
        <f aca="false">IF(L104="中位60%",IF(W104="高",3,IF(W104="中",2,IF(W104="低",1,0)))+IF(M104="◎",1,0)+IF(N104="◎",1,0)+IF(O104="○",1,0)+IF(P104="○",1,0),"")</f>
        <v/>
      </c>
      <c r="Y104" s="20"/>
      <c r="Z104" s="18"/>
      <c r="AA104" s="20"/>
      <c r="AB104" s="20"/>
    </row>
    <row r="105" customFormat="false" ht="15" hidden="false" customHeight="false" outlineLevel="0" collapsed="false">
      <c r="A105" s="13" t="s">
        <v>285</v>
      </c>
      <c r="B105" s="14" t="s">
        <v>286</v>
      </c>
      <c r="C105" s="15" t="s">
        <v>61</v>
      </c>
      <c r="D105" s="15" t="n">
        <v>7</v>
      </c>
      <c r="E105" s="14" t="s">
        <v>75</v>
      </c>
      <c r="F105" s="15" t="s">
        <v>63</v>
      </c>
      <c r="G105" s="16" t="s">
        <v>287</v>
      </c>
      <c r="H105" s="17" t="n">
        <v>1</v>
      </c>
      <c r="I105" s="18"/>
      <c r="J105" s="15" t="n">
        <f aca="false">IF(AND(H105=1,N(I105)&gt;0),1,0)</f>
        <v>0</v>
      </c>
      <c r="K105" s="15" t="str">
        <f aca="false">IF(J105=1,SUMPRODUCT(($J$5:$J$312=1)*(N($I$5:$I$312)&gt;N(I105)))+1,"")</f>
        <v/>
      </c>
      <c r="L105" s="15" t="str">
        <f aca="false">IF(J105&lt;&gt;1,"",IF(K105&lt;=ROUND(SUM($J$5:$J$312)*0.2,0),"上位20%",IF(K105&lt;=ROUND(SUM($J$5:$J$312)*0.8,0),"中位60%","下位20%")))</f>
        <v/>
      </c>
      <c r="M105" s="15" t="str">
        <f aca="false">IF(F105="あり","◎","")</f>
        <v>◎</v>
      </c>
      <c r="N105" s="15" t="str">
        <f aca="false">IF(OR(LEFT(G105,1)="A",LEFT(G105,1)="B"),"◎","")</f>
        <v/>
      </c>
      <c r="O105" s="19"/>
      <c r="P105" s="19"/>
      <c r="Q105" s="19"/>
      <c r="R105" s="19"/>
      <c r="S105" s="19"/>
      <c r="T105" s="19"/>
      <c r="U105" s="19"/>
      <c r="V105" s="19"/>
      <c r="W105" s="15" t="str">
        <f aca="false">IF((N(Q105)+N(R105)+N(S105)+N(T105)+N(U105)+N(V105))=0,"",IF(AND((N(Q105)+N(R105)+N(T105))&gt;=2,(N(Q105)+N(R105)+N(S105)+N(T105)+N(U105)+N(V105))&gt;=4),"高",IF(AND((N(Q105)+N(R105)+N(T105))&gt;=1,(N(Q105)+N(R105)+N(S105)+N(T105)+N(U105)+N(V105))=3),"中","低")))</f>
        <v/>
      </c>
      <c r="X105" s="15" t="str">
        <f aca="false">IF(L105="中位60%",IF(W105="高",3,IF(W105="中",2,IF(W105="低",1,0)))+IF(M105="◎",1,0)+IF(N105="◎",1,0)+IF(O105="○",1,0)+IF(P105="○",1,0),"")</f>
        <v/>
      </c>
      <c r="Y105" s="20"/>
      <c r="Z105" s="18"/>
      <c r="AA105" s="20"/>
      <c r="AB105" s="20"/>
    </row>
    <row r="106" customFormat="false" ht="15" hidden="false" customHeight="false" outlineLevel="0" collapsed="false">
      <c r="A106" s="13" t="s">
        <v>288</v>
      </c>
      <c r="B106" s="14" t="s">
        <v>289</v>
      </c>
      <c r="C106" s="15" t="s">
        <v>61</v>
      </c>
      <c r="D106" s="15" t="n">
        <v>7</v>
      </c>
      <c r="E106" s="14" t="s">
        <v>94</v>
      </c>
      <c r="F106" s="15" t="s">
        <v>80</v>
      </c>
      <c r="G106" s="16" t="s">
        <v>64</v>
      </c>
      <c r="H106" s="17" t="n">
        <v>1</v>
      </c>
      <c r="I106" s="18"/>
      <c r="J106" s="15" t="n">
        <f aca="false">IF(AND(H106=1,N(I106)&gt;0),1,0)</f>
        <v>0</v>
      </c>
      <c r="K106" s="15" t="str">
        <f aca="false">IF(J106=1,SUMPRODUCT(($J$5:$J$312=1)*(N($I$5:$I$312)&gt;N(I106)))+1,"")</f>
        <v/>
      </c>
      <c r="L106" s="15" t="str">
        <f aca="false">IF(J106&lt;&gt;1,"",IF(K106&lt;=ROUND(SUM($J$5:$J$312)*0.2,0),"上位20%",IF(K106&lt;=ROUND(SUM($J$5:$J$312)*0.8,0),"中位60%","下位20%")))</f>
        <v/>
      </c>
      <c r="M106" s="15" t="str">
        <f aca="false">IF(F106="あり","◎","")</f>
        <v/>
      </c>
      <c r="N106" s="15" t="str">
        <f aca="false">IF(OR(LEFT(G106,1)="A",LEFT(G106,1)="B"),"◎","")</f>
        <v/>
      </c>
      <c r="O106" s="19"/>
      <c r="P106" s="19"/>
      <c r="Q106" s="19"/>
      <c r="R106" s="19"/>
      <c r="S106" s="19"/>
      <c r="T106" s="19"/>
      <c r="U106" s="19"/>
      <c r="V106" s="19"/>
      <c r="W106" s="15" t="str">
        <f aca="false">IF((N(Q106)+N(R106)+N(S106)+N(T106)+N(U106)+N(V106))=0,"",IF(AND((N(Q106)+N(R106)+N(T106))&gt;=2,(N(Q106)+N(R106)+N(S106)+N(T106)+N(U106)+N(V106))&gt;=4),"高",IF(AND((N(Q106)+N(R106)+N(T106))&gt;=1,(N(Q106)+N(R106)+N(S106)+N(T106)+N(U106)+N(V106))=3),"中","低")))</f>
        <v/>
      </c>
      <c r="X106" s="15" t="str">
        <f aca="false">IF(L106="中位60%",IF(W106="高",3,IF(W106="中",2,IF(W106="低",1,0)))+IF(M106="◎",1,0)+IF(N106="◎",1,0)+IF(O106="○",1,0)+IF(P106="○",1,0),"")</f>
        <v/>
      </c>
      <c r="Y106" s="20"/>
      <c r="Z106" s="18"/>
      <c r="AA106" s="20"/>
      <c r="AB106" s="20"/>
    </row>
    <row r="107" customFormat="false" ht="15" hidden="false" customHeight="false" outlineLevel="0" collapsed="false">
      <c r="A107" s="13" t="s">
        <v>290</v>
      </c>
      <c r="B107" s="14" t="s">
        <v>291</v>
      </c>
      <c r="C107" s="15" t="s">
        <v>61</v>
      </c>
      <c r="D107" s="15" t="n">
        <v>8</v>
      </c>
      <c r="E107" s="14" t="s">
        <v>117</v>
      </c>
      <c r="F107" s="15" t="s">
        <v>63</v>
      </c>
      <c r="G107" s="16" t="s">
        <v>76</v>
      </c>
      <c r="H107" s="17" t="n">
        <v>1</v>
      </c>
      <c r="I107" s="18"/>
      <c r="J107" s="15" t="n">
        <f aca="false">IF(AND(H107=1,N(I107)&gt;0),1,0)</f>
        <v>0</v>
      </c>
      <c r="K107" s="15" t="str">
        <f aca="false">IF(J107=1,SUMPRODUCT(($J$5:$J$312=1)*(N($I$5:$I$312)&gt;N(I107)))+1,"")</f>
        <v/>
      </c>
      <c r="L107" s="15" t="str">
        <f aca="false">IF(J107&lt;&gt;1,"",IF(K107&lt;=ROUND(SUM($J$5:$J$312)*0.2,0),"上位20%",IF(K107&lt;=ROUND(SUM($J$5:$J$312)*0.8,0),"中位60%","下位20%")))</f>
        <v/>
      </c>
      <c r="M107" s="15" t="str">
        <f aca="false">IF(F107="あり","◎","")</f>
        <v>◎</v>
      </c>
      <c r="N107" s="15" t="str">
        <f aca="false">IF(OR(LEFT(G107,1)="A",LEFT(G107,1)="B"),"◎","")</f>
        <v>◎</v>
      </c>
      <c r="O107" s="19"/>
      <c r="P107" s="19"/>
      <c r="Q107" s="19"/>
      <c r="R107" s="19"/>
      <c r="S107" s="19"/>
      <c r="T107" s="19"/>
      <c r="U107" s="19"/>
      <c r="V107" s="19"/>
      <c r="W107" s="15" t="str">
        <f aca="false">IF((N(Q107)+N(R107)+N(S107)+N(T107)+N(U107)+N(V107))=0,"",IF(AND((N(Q107)+N(R107)+N(T107))&gt;=2,(N(Q107)+N(R107)+N(S107)+N(T107)+N(U107)+N(V107))&gt;=4),"高",IF(AND((N(Q107)+N(R107)+N(T107))&gt;=1,(N(Q107)+N(R107)+N(S107)+N(T107)+N(U107)+N(V107))=3),"中","低")))</f>
        <v/>
      </c>
      <c r="X107" s="15" t="str">
        <f aca="false">IF(L107="中位60%",IF(W107="高",3,IF(W107="中",2,IF(W107="低",1,0)))+IF(M107="◎",1,0)+IF(N107="◎",1,0)+IF(O107="○",1,0)+IF(P107="○",1,0),"")</f>
        <v/>
      </c>
      <c r="Y107" s="20"/>
      <c r="Z107" s="18"/>
      <c r="AA107" s="20"/>
      <c r="AB107" s="20"/>
    </row>
    <row r="108" customFormat="false" ht="15" hidden="false" customHeight="false" outlineLevel="0" collapsed="false">
      <c r="A108" s="13" t="s">
        <v>292</v>
      </c>
      <c r="B108" s="14" t="s">
        <v>293</v>
      </c>
      <c r="C108" s="15" t="s">
        <v>61</v>
      </c>
      <c r="D108" s="15" t="n">
        <v>8</v>
      </c>
      <c r="E108" s="14" t="s">
        <v>83</v>
      </c>
      <c r="F108" s="15" t="s">
        <v>63</v>
      </c>
      <c r="G108" s="16" t="s">
        <v>64</v>
      </c>
      <c r="H108" s="17" t="n">
        <v>1</v>
      </c>
      <c r="I108" s="18"/>
      <c r="J108" s="15" t="n">
        <f aca="false">IF(AND(H108=1,N(I108)&gt;0),1,0)</f>
        <v>0</v>
      </c>
      <c r="K108" s="15" t="str">
        <f aca="false">IF(J108=1,SUMPRODUCT(($J$5:$J$312=1)*(N($I$5:$I$312)&gt;N(I108)))+1,"")</f>
        <v/>
      </c>
      <c r="L108" s="15" t="str">
        <f aca="false">IF(J108&lt;&gt;1,"",IF(K108&lt;=ROUND(SUM($J$5:$J$312)*0.2,0),"上位20%",IF(K108&lt;=ROUND(SUM($J$5:$J$312)*0.8,0),"中位60%","下位20%")))</f>
        <v/>
      </c>
      <c r="M108" s="15" t="str">
        <f aca="false">IF(F108="あり","◎","")</f>
        <v>◎</v>
      </c>
      <c r="N108" s="15" t="str">
        <f aca="false">IF(OR(LEFT(G108,1)="A",LEFT(G108,1)="B"),"◎","")</f>
        <v/>
      </c>
      <c r="O108" s="19"/>
      <c r="P108" s="19"/>
      <c r="Q108" s="19"/>
      <c r="R108" s="19"/>
      <c r="S108" s="19"/>
      <c r="T108" s="19"/>
      <c r="U108" s="19"/>
      <c r="V108" s="19"/>
      <c r="W108" s="15" t="str">
        <f aca="false">IF((N(Q108)+N(R108)+N(S108)+N(T108)+N(U108)+N(V108))=0,"",IF(AND((N(Q108)+N(R108)+N(T108))&gt;=2,(N(Q108)+N(R108)+N(S108)+N(T108)+N(U108)+N(V108))&gt;=4),"高",IF(AND((N(Q108)+N(R108)+N(T108))&gt;=1,(N(Q108)+N(R108)+N(S108)+N(T108)+N(U108)+N(V108))=3),"中","低")))</f>
        <v/>
      </c>
      <c r="X108" s="15" t="str">
        <f aca="false">IF(L108="中位60%",IF(W108="高",3,IF(W108="中",2,IF(W108="低",1,0)))+IF(M108="◎",1,0)+IF(N108="◎",1,0)+IF(O108="○",1,0)+IF(P108="○",1,0),"")</f>
        <v/>
      </c>
      <c r="Y108" s="20"/>
      <c r="Z108" s="18"/>
      <c r="AA108" s="20"/>
      <c r="AB108" s="20"/>
    </row>
    <row r="109" customFormat="false" ht="15" hidden="false" customHeight="false" outlineLevel="0" collapsed="false">
      <c r="A109" s="13" t="s">
        <v>294</v>
      </c>
      <c r="B109" s="14" t="s">
        <v>295</v>
      </c>
      <c r="C109" s="15" t="s">
        <v>61</v>
      </c>
      <c r="D109" s="15" t="n">
        <v>8</v>
      </c>
      <c r="E109" s="14" t="s">
        <v>94</v>
      </c>
      <c r="F109" s="15" t="s">
        <v>63</v>
      </c>
      <c r="G109" s="16" t="s">
        <v>110</v>
      </c>
      <c r="H109" s="17" t="n">
        <v>1</v>
      </c>
      <c r="I109" s="18"/>
      <c r="J109" s="15" t="n">
        <f aca="false">IF(AND(H109=1,N(I109)&gt;0),1,0)</f>
        <v>0</v>
      </c>
      <c r="K109" s="15" t="str">
        <f aca="false">IF(J109=1,SUMPRODUCT(($J$5:$J$312=1)*(N($I$5:$I$312)&gt;N(I109)))+1,"")</f>
        <v/>
      </c>
      <c r="L109" s="15" t="str">
        <f aca="false">IF(J109&lt;&gt;1,"",IF(K109&lt;=ROUND(SUM($J$5:$J$312)*0.2,0),"上位20%",IF(K109&lt;=ROUND(SUM($J$5:$J$312)*0.8,0),"中位60%","下位20%")))</f>
        <v/>
      </c>
      <c r="M109" s="15" t="str">
        <f aca="false">IF(F109="あり","◎","")</f>
        <v>◎</v>
      </c>
      <c r="N109" s="15" t="str">
        <f aca="false">IF(OR(LEFT(G109,1)="A",LEFT(G109,1)="B"),"◎","")</f>
        <v>◎</v>
      </c>
      <c r="O109" s="19"/>
      <c r="P109" s="19"/>
      <c r="Q109" s="19"/>
      <c r="R109" s="19"/>
      <c r="S109" s="19"/>
      <c r="T109" s="19"/>
      <c r="U109" s="19"/>
      <c r="V109" s="19"/>
      <c r="W109" s="15" t="str">
        <f aca="false">IF((N(Q109)+N(R109)+N(S109)+N(T109)+N(U109)+N(V109))=0,"",IF(AND((N(Q109)+N(R109)+N(T109))&gt;=2,(N(Q109)+N(R109)+N(S109)+N(T109)+N(U109)+N(V109))&gt;=4),"高",IF(AND((N(Q109)+N(R109)+N(T109))&gt;=1,(N(Q109)+N(R109)+N(S109)+N(T109)+N(U109)+N(V109))=3),"中","低")))</f>
        <v/>
      </c>
      <c r="X109" s="15" t="str">
        <f aca="false">IF(L109="中位60%",IF(W109="高",3,IF(W109="中",2,IF(W109="低",1,0)))+IF(M109="◎",1,0)+IF(N109="◎",1,0)+IF(O109="○",1,0)+IF(P109="○",1,0),"")</f>
        <v/>
      </c>
      <c r="Y109" s="20"/>
      <c r="Z109" s="18"/>
      <c r="AA109" s="20"/>
      <c r="AB109" s="20"/>
    </row>
    <row r="110" customFormat="false" ht="15" hidden="false" customHeight="false" outlineLevel="0" collapsed="false">
      <c r="A110" s="13" t="s">
        <v>296</v>
      </c>
      <c r="B110" s="14" t="s">
        <v>297</v>
      </c>
      <c r="C110" s="15" t="s">
        <v>61</v>
      </c>
      <c r="D110" s="15" t="n">
        <v>8</v>
      </c>
      <c r="E110" s="14" t="s">
        <v>101</v>
      </c>
      <c r="F110" s="15" t="s">
        <v>63</v>
      </c>
      <c r="G110" s="16" t="s">
        <v>110</v>
      </c>
      <c r="H110" s="17" t="n">
        <v>1</v>
      </c>
      <c r="I110" s="18"/>
      <c r="J110" s="15" t="n">
        <f aca="false">IF(AND(H110=1,N(I110)&gt;0),1,0)</f>
        <v>0</v>
      </c>
      <c r="K110" s="15" t="str">
        <f aca="false">IF(J110=1,SUMPRODUCT(($J$5:$J$312=1)*(N($I$5:$I$312)&gt;N(I110)))+1,"")</f>
        <v/>
      </c>
      <c r="L110" s="15" t="str">
        <f aca="false">IF(J110&lt;&gt;1,"",IF(K110&lt;=ROUND(SUM($J$5:$J$312)*0.2,0),"上位20%",IF(K110&lt;=ROUND(SUM($J$5:$J$312)*0.8,0),"中位60%","下位20%")))</f>
        <v/>
      </c>
      <c r="M110" s="15" t="str">
        <f aca="false">IF(F110="あり","◎","")</f>
        <v>◎</v>
      </c>
      <c r="N110" s="15" t="str">
        <f aca="false">IF(OR(LEFT(G110,1)="A",LEFT(G110,1)="B"),"◎","")</f>
        <v>◎</v>
      </c>
      <c r="O110" s="19"/>
      <c r="P110" s="19"/>
      <c r="Q110" s="19"/>
      <c r="R110" s="19"/>
      <c r="S110" s="19"/>
      <c r="T110" s="19"/>
      <c r="U110" s="19"/>
      <c r="V110" s="19"/>
      <c r="W110" s="15" t="str">
        <f aca="false">IF((N(Q110)+N(R110)+N(S110)+N(T110)+N(U110)+N(V110))=0,"",IF(AND((N(Q110)+N(R110)+N(T110))&gt;=2,(N(Q110)+N(R110)+N(S110)+N(T110)+N(U110)+N(V110))&gt;=4),"高",IF(AND((N(Q110)+N(R110)+N(T110))&gt;=1,(N(Q110)+N(R110)+N(S110)+N(T110)+N(U110)+N(V110))=3),"中","低")))</f>
        <v/>
      </c>
      <c r="X110" s="15" t="str">
        <f aca="false">IF(L110="中位60%",IF(W110="高",3,IF(W110="中",2,IF(W110="低",1,0)))+IF(M110="◎",1,0)+IF(N110="◎",1,0)+IF(O110="○",1,0)+IF(P110="○",1,0),"")</f>
        <v/>
      </c>
      <c r="Y110" s="20"/>
      <c r="Z110" s="18"/>
      <c r="AA110" s="20"/>
      <c r="AB110" s="20"/>
    </row>
    <row r="111" customFormat="false" ht="15" hidden="false" customHeight="false" outlineLevel="0" collapsed="false">
      <c r="A111" s="13" t="s">
        <v>298</v>
      </c>
      <c r="B111" s="14" t="s">
        <v>299</v>
      </c>
      <c r="C111" s="15" t="s">
        <v>61</v>
      </c>
      <c r="D111" s="15" t="n">
        <v>8</v>
      </c>
      <c r="E111" s="14" t="s">
        <v>62</v>
      </c>
      <c r="F111" s="15" t="s">
        <v>63</v>
      </c>
      <c r="G111" s="16" t="s">
        <v>76</v>
      </c>
      <c r="H111" s="17" t="n">
        <v>1</v>
      </c>
      <c r="I111" s="18"/>
      <c r="J111" s="15" t="n">
        <f aca="false">IF(AND(H111=1,N(I111)&gt;0),1,0)</f>
        <v>0</v>
      </c>
      <c r="K111" s="15" t="str">
        <f aca="false">IF(J111=1,SUMPRODUCT(($J$5:$J$312=1)*(N($I$5:$I$312)&gt;N(I111)))+1,"")</f>
        <v/>
      </c>
      <c r="L111" s="15" t="str">
        <f aca="false">IF(J111&lt;&gt;1,"",IF(K111&lt;=ROUND(SUM($J$5:$J$312)*0.2,0),"上位20%",IF(K111&lt;=ROUND(SUM($J$5:$J$312)*0.8,0),"中位60%","下位20%")))</f>
        <v/>
      </c>
      <c r="M111" s="15" t="str">
        <f aca="false">IF(F111="あり","◎","")</f>
        <v>◎</v>
      </c>
      <c r="N111" s="15" t="str">
        <f aca="false">IF(OR(LEFT(G111,1)="A",LEFT(G111,1)="B"),"◎","")</f>
        <v>◎</v>
      </c>
      <c r="O111" s="19"/>
      <c r="P111" s="19"/>
      <c r="Q111" s="19"/>
      <c r="R111" s="19"/>
      <c r="S111" s="19"/>
      <c r="T111" s="19"/>
      <c r="U111" s="19"/>
      <c r="V111" s="19"/>
      <c r="W111" s="15" t="str">
        <f aca="false">IF((N(Q111)+N(R111)+N(S111)+N(T111)+N(U111)+N(V111))=0,"",IF(AND((N(Q111)+N(R111)+N(T111))&gt;=2,(N(Q111)+N(R111)+N(S111)+N(T111)+N(U111)+N(V111))&gt;=4),"高",IF(AND((N(Q111)+N(R111)+N(T111))&gt;=1,(N(Q111)+N(R111)+N(S111)+N(T111)+N(U111)+N(V111))=3),"中","低")))</f>
        <v/>
      </c>
      <c r="X111" s="15" t="str">
        <f aca="false">IF(L111="中位60%",IF(W111="高",3,IF(W111="中",2,IF(W111="低",1,0)))+IF(M111="◎",1,0)+IF(N111="◎",1,0)+IF(O111="○",1,0)+IF(P111="○",1,0),"")</f>
        <v/>
      </c>
      <c r="Y111" s="20"/>
      <c r="Z111" s="18"/>
      <c r="AA111" s="20"/>
      <c r="AB111" s="20"/>
    </row>
    <row r="112" customFormat="false" ht="15" hidden="false" customHeight="false" outlineLevel="0" collapsed="false">
      <c r="A112" s="13" t="s">
        <v>300</v>
      </c>
      <c r="B112" s="14" t="s">
        <v>301</v>
      </c>
      <c r="C112" s="15" t="s">
        <v>61</v>
      </c>
      <c r="D112" s="15" t="n">
        <v>8</v>
      </c>
      <c r="E112" s="14" t="s">
        <v>75</v>
      </c>
      <c r="F112" s="15" t="s">
        <v>63</v>
      </c>
      <c r="G112" s="16" t="s">
        <v>64</v>
      </c>
      <c r="H112" s="17" t="n">
        <v>1</v>
      </c>
      <c r="I112" s="18"/>
      <c r="J112" s="15" t="n">
        <f aca="false">IF(AND(H112=1,N(I112)&gt;0),1,0)</f>
        <v>0</v>
      </c>
      <c r="K112" s="15" t="str">
        <f aca="false">IF(J112=1,SUMPRODUCT(($J$5:$J$312=1)*(N($I$5:$I$312)&gt;N(I112)))+1,"")</f>
        <v/>
      </c>
      <c r="L112" s="15" t="str">
        <f aca="false">IF(J112&lt;&gt;1,"",IF(K112&lt;=ROUND(SUM($J$5:$J$312)*0.2,0),"上位20%",IF(K112&lt;=ROUND(SUM($J$5:$J$312)*0.8,0),"中位60%","下位20%")))</f>
        <v/>
      </c>
      <c r="M112" s="15" t="str">
        <f aca="false">IF(F112="あり","◎","")</f>
        <v>◎</v>
      </c>
      <c r="N112" s="15" t="str">
        <f aca="false">IF(OR(LEFT(G112,1)="A",LEFT(G112,1)="B"),"◎","")</f>
        <v/>
      </c>
      <c r="O112" s="19"/>
      <c r="P112" s="19"/>
      <c r="Q112" s="19"/>
      <c r="R112" s="19"/>
      <c r="S112" s="19"/>
      <c r="T112" s="19"/>
      <c r="U112" s="19"/>
      <c r="V112" s="19"/>
      <c r="W112" s="15" t="str">
        <f aca="false">IF((N(Q112)+N(R112)+N(S112)+N(T112)+N(U112)+N(V112))=0,"",IF(AND((N(Q112)+N(R112)+N(T112))&gt;=2,(N(Q112)+N(R112)+N(S112)+N(T112)+N(U112)+N(V112))&gt;=4),"高",IF(AND((N(Q112)+N(R112)+N(T112))&gt;=1,(N(Q112)+N(R112)+N(S112)+N(T112)+N(U112)+N(V112))=3),"中","低")))</f>
        <v/>
      </c>
      <c r="X112" s="15" t="str">
        <f aca="false">IF(L112="中位60%",IF(W112="高",3,IF(W112="中",2,IF(W112="低",1,0)))+IF(M112="◎",1,0)+IF(N112="◎",1,0)+IF(O112="○",1,0)+IF(P112="○",1,0),"")</f>
        <v/>
      </c>
      <c r="Y112" s="20"/>
      <c r="Z112" s="18"/>
      <c r="AA112" s="20"/>
      <c r="AB112" s="20"/>
    </row>
    <row r="113" customFormat="false" ht="15" hidden="false" customHeight="false" outlineLevel="0" collapsed="false">
      <c r="A113" s="13" t="s">
        <v>302</v>
      </c>
      <c r="B113" s="14" t="s">
        <v>303</v>
      </c>
      <c r="C113" s="15" t="s">
        <v>61</v>
      </c>
      <c r="D113" s="15" t="n">
        <v>8</v>
      </c>
      <c r="E113" s="14" t="s">
        <v>79</v>
      </c>
      <c r="F113" s="15" t="s">
        <v>80</v>
      </c>
      <c r="G113" s="16" t="s">
        <v>76</v>
      </c>
      <c r="H113" s="17" t="n">
        <v>1</v>
      </c>
      <c r="I113" s="18"/>
      <c r="J113" s="15" t="n">
        <f aca="false">IF(AND(H113=1,N(I113)&gt;0),1,0)</f>
        <v>0</v>
      </c>
      <c r="K113" s="15" t="str">
        <f aca="false">IF(J113=1,SUMPRODUCT(($J$5:$J$312=1)*(N($I$5:$I$312)&gt;N(I113)))+1,"")</f>
        <v/>
      </c>
      <c r="L113" s="15" t="str">
        <f aca="false">IF(J113&lt;&gt;1,"",IF(K113&lt;=ROUND(SUM($J$5:$J$312)*0.2,0),"上位20%",IF(K113&lt;=ROUND(SUM($J$5:$J$312)*0.8,0),"中位60%","下位20%")))</f>
        <v/>
      </c>
      <c r="M113" s="15" t="str">
        <f aca="false">IF(F113="あり","◎","")</f>
        <v/>
      </c>
      <c r="N113" s="15" t="str">
        <f aca="false">IF(OR(LEFT(G113,1)="A",LEFT(G113,1)="B"),"◎","")</f>
        <v>◎</v>
      </c>
      <c r="O113" s="19"/>
      <c r="P113" s="19"/>
      <c r="Q113" s="19"/>
      <c r="R113" s="19"/>
      <c r="S113" s="19"/>
      <c r="T113" s="19"/>
      <c r="U113" s="19"/>
      <c r="V113" s="19"/>
      <c r="W113" s="15" t="str">
        <f aca="false">IF((N(Q113)+N(R113)+N(S113)+N(T113)+N(U113)+N(V113))=0,"",IF(AND((N(Q113)+N(R113)+N(T113))&gt;=2,(N(Q113)+N(R113)+N(S113)+N(T113)+N(U113)+N(V113))&gt;=4),"高",IF(AND((N(Q113)+N(R113)+N(T113))&gt;=1,(N(Q113)+N(R113)+N(S113)+N(T113)+N(U113)+N(V113))=3),"中","低")))</f>
        <v/>
      </c>
      <c r="X113" s="15" t="str">
        <f aca="false">IF(L113="中位60%",IF(W113="高",3,IF(W113="中",2,IF(W113="低",1,0)))+IF(M113="◎",1,0)+IF(N113="◎",1,0)+IF(O113="○",1,0)+IF(P113="○",1,0),"")</f>
        <v/>
      </c>
      <c r="Y113" s="20"/>
      <c r="Z113" s="18"/>
      <c r="AA113" s="20"/>
      <c r="AB113" s="20"/>
    </row>
    <row r="114" customFormat="false" ht="15" hidden="false" customHeight="false" outlineLevel="0" collapsed="false">
      <c r="A114" s="13" t="s">
        <v>304</v>
      </c>
      <c r="B114" s="14" t="s">
        <v>305</v>
      </c>
      <c r="C114" s="15" t="s">
        <v>61</v>
      </c>
      <c r="D114" s="15" t="n">
        <v>8</v>
      </c>
      <c r="E114" s="14" t="s">
        <v>94</v>
      </c>
      <c r="F114" s="15" t="s">
        <v>63</v>
      </c>
      <c r="G114" s="16" t="s">
        <v>64</v>
      </c>
      <c r="H114" s="17" t="n">
        <v>1</v>
      </c>
      <c r="I114" s="18"/>
      <c r="J114" s="15" t="n">
        <f aca="false">IF(AND(H114=1,N(I114)&gt;0),1,0)</f>
        <v>0</v>
      </c>
      <c r="K114" s="15" t="str">
        <f aca="false">IF(J114=1,SUMPRODUCT(($J$5:$J$312=1)*(N($I$5:$I$312)&gt;N(I114)))+1,"")</f>
        <v/>
      </c>
      <c r="L114" s="15" t="str">
        <f aca="false">IF(J114&lt;&gt;1,"",IF(K114&lt;=ROUND(SUM($J$5:$J$312)*0.2,0),"上位20%",IF(K114&lt;=ROUND(SUM($J$5:$J$312)*0.8,0),"中位60%","下位20%")))</f>
        <v/>
      </c>
      <c r="M114" s="15" t="str">
        <f aca="false">IF(F114="あり","◎","")</f>
        <v>◎</v>
      </c>
      <c r="N114" s="15" t="str">
        <f aca="false">IF(OR(LEFT(G114,1)="A",LEFT(G114,1)="B"),"◎","")</f>
        <v/>
      </c>
      <c r="O114" s="19"/>
      <c r="P114" s="19"/>
      <c r="Q114" s="19"/>
      <c r="R114" s="19"/>
      <c r="S114" s="19"/>
      <c r="T114" s="19"/>
      <c r="U114" s="19"/>
      <c r="V114" s="19"/>
      <c r="W114" s="15" t="str">
        <f aca="false">IF((N(Q114)+N(R114)+N(S114)+N(T114)+N(U114)+N(V114))=0,"",IF(AND((N(Q114)+N(R114)+N(T114))&gt;=2,(N(Q114)+N(R114)+N(S114)+N(T114)+N(U114)+N(V114))&gt;=4),"高",IF(AND((N(Q114)+N(R114)+N(T114))&gt;=1,(N(Q114)+N(R114)+N(S114)+N(T114)+N(U114)+N(V114))=3),"中","低")))</f>
        <v/>
      </c>
      <c r="X114" s="15" t="str">
        <f aca="false">IF(L114="中位60%",IF(W114="高",3,IF(W114="中",2,IF(W114="低",1,0)))+IF(M114="◎",1,0)+IF(N114="◎",1,0)+IF(O114="○",1,0)+IF(P114="○",1,0),"")</f>
        <v/>
      </c>
      <c r="Y114" s="20"/>
      <c r="Z114" s="18"/>
      <c r="AA114" s="20"/>
      <c r="AB114" s="20"/>
    </row>
    <row r="115" customFormat="false" ht="15" hidden="false" customHeight="false" outlineLevel="0" collapsed="false">
      <c r="A115" s="13" t="s">
        <v>306</v>
      </c>
      <c r="B115" s="14" t="s">
        <v>307</v>
      </c>
      <c r="C115" s="15" t="s">
        <v>61</v>
      </c>
      <c r="D115" s="15" t="n">
        <v>8</v>
      </c>
      <c r="E115" s="14" t="s">
        <v>79</v>
      </c>
      <c r="F115" s="15" t="s">
        <v>63</v>
      </c>
      <c r="G115" s="16" t="s">
        <v>64</v>
      </c>
      <c r="H115" s="17" t="n">
        <v>1</v>
      </c>
      <c r="I115" s="18"/>
      <c r="J115" s="15" t="n">
        <f aca="false">IF(AND(H115=1,N(I115)&gt;0),1,0)</f>
        <v>0</v>
      </c>
      <c r="K115" s="15" t="str">
        <f aca="false">IF(J115=1,SUMPRODUCT(($J$5:$J$312=1)*(N($I$5:$I$312)&gt;N(I115)))+1,"")</f>
        <v/>
      </c>
      <c r="L115" s="15" t="str">
        <f aca="false">IF(J115&lt;&gt;1,"",IF(K115&lt;=ROUND(SUM($J$5:$J$312)*0.2,0),"上位20%",IF(K115&lt;=ROUND(SUM($J$5:$J$312)*0.8,0),"中位60%","下位20%")))</f>
        <v/>
      </c>
      <c r="M115" s="15" t="str">
        <f aca="false">IF(F115="あり","◎","")</f>
        <v>◎</v>
      </c>
      <c r="N115" s="15" t="str">
        <f aca="false">IF(OR(LEFT(G115,1)="A",LEFT(G115,1)="B"),"◎","")</f>
        <v/>
      </c>
      <c r="O115" s="19"/>
      <c r="P115" s="19"/>
      <c r="Q115" s="19"/>
      <c r="R115" s="19"/>
      <c r="S115" s="19"/>
      <c r="T115" s="19"/>
      <c r="U115" s="19"/>
      <c r="V115" s="19"/>
      <c r="W115" s="15" t="str">
        <f aca="false">IF((N(Q115)+N(R115)+N(S115)+N(T115)+N(U115)+N(V115))=0,"",IF(AND((N(Q115)+N(R115)+N(T115))&gt;=2,(N(Q115)+N(R115)+N(S115)+N(T115)+N(U115)+N(V115))&gt;=4),"高",IF(AND((N(Q115)+N(R115)+N(T115))&gt;=1,(N(Q115)+N(R115)+N(S115)+N(T115)+N(U115)+N(V115))=3),"中","低")))</f>
        <v/>
      </c>
      <c r="X115" s="15" t="str">
        <f aca="false">IF(L115="中位60%",IF(W115="高",3,IF(W115="中",2,IF(W115="低",1,0)))+IF(M115="◎",1,0)+IF(N115="◎",1,0)+IF(O115="○",1,0)+IF(P115="○",1,0),"")</f>
        <v/>
      </c>
      <c r="Y115" s="20"/>
      <c r="Z115" s="18"/>
      <c r="AA115" s="20"/>
      <c r="AB115" s="20"/>
    </row>
    <row r="116" customFormat="false" ht="15" hidden="false" customHeight="false" outlineLevel="0" collapsed="false">
      <c r="A116" s="13" t="s">
        <v>308</v>
      </c>
      <c r="B116" s="14" t="s">
        <v>309</v>
      </c>
      <c r="C116" s="15" t="s">
        <v>61</v>
      </c>
      <c r="D116" s="15" t="n">
        <v>8</v>
      </c>
      <c r="E116" s="14" t="s">
        <v>101</v>
      </c>
      <c r="F116" s="15" t="s">
        <v>63</v>
      </c>
      <c r="G116" s="14"/>
      <c r="H116" s="17" t="n">
        <v>1</v>
      </c>
      <c r="I116" s="18"/>
      <c r="J116" s="15" t="n">
        <f aca="false">IF(AND(H116=1,N(I116)&gt;0),1,0)</f>
        <v>0</v>
      </c>
      <c r="K116" s="15" t="str">
        <f aca="false">IF(J116=1,SUMPRODUCT(($J$5:$J$312=1)*(N($I$5:$I$312)&gt;N(I116)))+1,"")</f>
        <v/>
      </c>
      <c r="L116" s="15" t="str">
        <f aca="false">IF(J116&lt;&gt;1,"",IF(K116&lt;=ROUND(SUM($J$5:$J$312)*0.2,0),"上位20%",IF(K116&lt;=ROUND(SUM($J$5:$J$312)*0.8,0),"中位60%","下位20%")))</f>
        <v/>
      </c>
      <c r="M116" s="15" t="str">
        <f aca="false">IF(F116="あり","◎","")</f>
        <v>◎</v>
      </c>
      <c r="N116" s="15" t="str">
        <f aca="false">IF(OR(LEFT(G116,1)="A",LEFT(G116,1)="B"),"◎","")</f>
        <v/>
      </c>
      <c r="O116" s="19"/>
      <c r="P116" s="19"/>
      <c r="Q116" s="19"/>
      <c r="R116" s="19"/>
      <c r="S116" s="19"/>
      <c r="T116" s="19"/>
      <c r="U116" s="19"/>
      <c r="V116" s="19"/>
      <c r="W116" s="15" t="str">
        <f aca="false">IF((N(Q116)+N(R116)+N(S116)+N(T116)+N(U116)+N(V116))=0,"",IF(AND((N(Q116)+N(R116)+N(T116))&gt;=2,(N(Q116)+N(R116)+N(S116)+N(T116)+N(U116)+N(V116))&gt;=4),"高",IF(AND((N(Q116)+N(R116)+N(T116))&gt;=1,(N(Q116)+N(R116)+N(S116)+N(T116)+N(U116)+N(V116))=3),"中","低")))</f>
        <v/>
      </c>
      <c r="X116" s="15" t="str">
        <f aca="false">IF(L116="中位60%",IF(W116="高",3,IF(W116="中",2,IF(W116="低",1,0)))+IF(M116="◎",1,0)+IF(N116="◎",1,0)+IF(O116="○",1,0)+IF(P116="○",1,0),"")</f>
        <v/>
      </c>
      <c r="Y116" s="20"/>
      <c r="Z116" s="18"/>
      <c r="AA116" s="20"/>
      <c r="AB116" s="20"/>
    </row>
    <row r="117" customFormat="false" ht="15" hidden="false" customHeight="false" outlineLevel="0" collapsed="false">
      <c r="A117" s="13" t="s">
        <v>310</v>
      </c>
      <c r="B117" s="14" t="s">
        <v>311</v>
      </c>
      <c r="C117" s="15" t="s">
        <v>61</v>
      </c>
      <c r="D117" s="15" t="n">
        <v>8</v>
      </c>
      <c r="E117" s="14" t="s">
        <v>75</v>
      </c>
      <c r="F117" s="15" t="s">
        <v>63</v>
      </c>
      <c r="G117" s="14"/>
      <c r="H117" s="17" t="n">
        <v>1</v>
      </c>
      <c r="I117" s="18"/>
      <c r="J117" s="15" t="n">
        <f aca="false">IF(AND(H117=1,N(I117)&gt;0),1,0)</f>
        <v>0</v>
      </c>
      <c r="K117" s="15" t="str">
        <f aca="false">IF(J117=1,SUMPRODUCT(($J$5:$J$312=1)*(N($I$5:$I$312)&gt;N(I117)))+1,"")</f>
        <v/>
      </c>
      <c r="L117" s="15" t="str">
        <f aca="false">IF(J117&lt;&gt;1,"",IF(K117&lt;=ROUND(SUM($J$5:$J$312)*0.2,0),"上位20%",IF(K117&lt;=ROUND(SUM($J$5:$J$312)*0.8,0),"中位60%","下位20%")))</f>
        <v/>
      </c>
      <c r="M117" s="15" t="str">
        <f aca="false">IF(F117="あり","◎","")</f>
        <v>◎</v>
      </c>
      <c r="N117" s="15" t="str">
        <f aca="false">IF(OR(LEFT(G117,1)="A",LEFT(G117,1)="B"),"◎","")</f>
        <v/>
      </c>
      <c r="O117" s="19"/>
      <c r="P117" s="19"/>
      <c r="Q117" s="19"/>
      <c r="R117" s="19"/>
      <c r="S117" s="19"/>
      <c r="T117" s="19"/>
      <c r="U117" s="19"/>
      <c r="V117" s="19"/>
      <c r="W117" s="15" t="str">
        <f aca="false">IF((N(Q117)+N(R117)+N(S117)+N(T117)+N(U117)+N(V117))=0,"",IF(AND((N(Q117)+N(R117)+N(T117))&gt;=2,(N(Q117)+N(R117)+N(S117)+N(T117)+N(U117)+N(V117))&gt;=4),"高",IF(AND((N(Q117)+N(R117)+N(T117))&gt;=1,(N(Q117)+N(R117)+N(S117)+N(T117)+N(U117)+N(V117))=3),"中","低")))</f>
        <v/>
      </c>
      <c r="X117" s="15" t="str">
        <f aca="false">IF(L117="中位60%",IF(W117="高",3,IF(W117="中",2,IF(W117="低",1,0)))+IF(M117="◎",1,0)+IF(N117="◎",1,0)+IF(O117="○",1,0)+IF(P117="○",1,0),"")</f>
        <v/>
      </c>
      <c r="Y117" s="20"/>
      <c r="Z117" s="18"/>
      <c r="AA117" s="20"/>
      <c r="AB117" s="20"/>
    </row>
    <row r="118" customFormat="false" ht="15" hidden="false" customHeight="false" outlineLevel="0" collapsed="false">
      <c r="A118" s="13" t="s">
        <v>312</v>
      </c>
      <c r="B118" s="14" t="s">
        <v>313</v>
      </c>
      <c r="C118" s="15" t="s">
        <v>61</v>
      </c>
      <c r="D118" s="15" t="n">
        <v>8</v>
      </c>
      <c r="E118" s="14" t="s">
        <v>101</v>
      </c>
      <c r="F118" s="15" t="s">
        <v>63</v>
      </c>
      <c r="G118" s="14"/>
      <c r="H118" s="17" t="n">
        <v>1</v>
      </c>
      <c r="I118" s="18"/>
      <c r="J118" s="15" t="n">
        <f aca="false">IF(AND(H118=1,N(I118)&gt;0),1,0)</f>
        <v>0</v>
      </c>
      <c r="K118" s="15" t="str">
        <f aca="false">IF(J118=1,SUMPRODUCT(($J$5:$J$312=1)*(N($I$5:$I$312)&gt;N(I118)))+1,"")</f>
        <v/>
      </c>
      <c r="L118" s="15" t="str">
        <f aca="false">IF(J118&lt;&gt;1,"",IF(K118&lt;=ROUND(SUM($J$5:$J$312)*0.2,0),"上位20%",IF(K118&lt;=ROUND(SUM($J$5:$J$312)*0.8,0),"中位60%","下位20%")))</f>
        <v/>
      </c>
      <c r="M118" s="15" t="str">
        <f aca="false">IF(F118="あり","◎","")</f>
        <v>◎</v>
      </c>
      <c r="N118" s="15" t="str">
        <f aca="false">IF(OR(LEFT(G118,1)="A",LEFT(G118,1)="B"),"◎","")</f>
        <v/>
      </c>
      <c r="O118" s="19"/>
      <c r="P118" s="19"/>
      <c r="Q118" s="19"/>
      <c r="R118" s="19"/>
      <c r="S118" s="19"/>
      <c r="T118" s="19"/>
      <c r="U118" s="19"/>
      <c r="V118" s="19"/>
      <c r="W118" s="15" t="str">
        <f aca="false">IF((N(Q118)+N(R118)+N(S118)+N(T118)+N(U118)+N(V118))=0,"",IF(AND((N(Q118)+N(R118)+N(T118))&gt;=2,(N(Q118)+N(R118)+N(S118)+N(T118)+N(U118)+N(V118))&gt;=4),"高",IF(AND((N(Q118)+N(R118)+N(T118))&gt;=1,(N(Q118)+N(R118)+N(S118)+N(T118)+N(U118)+N(V118))=3),"中","低")))</f>
        <v/>
      </c>
      <c r="X118" s="15" t="str">
        <f aca="false">IF(L118="中位60%",IF(W118="高",3,IF(W118="中",2,IF(W118="低",1,0)))+IF(M118="◎",1,0)+IF(N118="◎",1,0)+IF(O118="○",1,0)+IF(P118="○",1,0),"")</f>
        <v/>
      </c>
      <c r="Y118" s="20"/>
      <c r="Z118" s="18"/>
      <c r="AA118" s="20"/>
      <c r="AB118" s="20"/>
    </row>
    <row r="119" customFormat="false" ht="15" hidden="false" customHeight="false" outlineLevel="0" collapsed="false">
      <c r="A119" s="13" t="s">
        <v>314</v>
      </c>
      <c r="B119" s="14" t="s">
        <v>315</v>
      </c>
      <c r="C119" s="15" t="s">
        <v>61</v>
      </c>
      <c r="D119" s="15" t="n">
        <v>8</v>
      </c>
      <c r="E119" s="14" t="s">
        <v>75</v>
      </c>
      <c r="F119" s="15" t="s">
        <v>63</v>
      </c>
      <c r="G119" s="14"/>
      <c r="H119" s="17" t="n">
        <v>1</v>
      </c>
      <c r="I119" s="18"/>
      <c r="J119" s="15" t="n">
        <f aca="false">IF(AND(H119=1,N(I119)&gt;0),1,0)</f>
        <v>0</v>
      </c>
      <c r="K119" s="15" t="str">
        <f aca="false">IF(J119=1,SUMPRODUCT(($J$5:$J$312=1)*(N($I$5:$I$312)&gt;N(I119)))+1,"")</f>
        <v/>
      </c>
      <c r="L119" s="15" t="str">
        <f aca="false">IF(J119&lt;&gt;1,"",IF(K119&lt;=ROUND(SUM($J$5:$J$312)*0.2,0),"上位20%",IF(K119&lt;=ROUND(SUM($J$5:$J$312)*0.8,0),"中位60%","下位20%")))</f>
        <v/>
      </c>
      <c r="M119" s="15" t="str">
        <f aca="false">IF(F119="あり","◎","")</f>
        <v>◎</v>
      </c>
      <c r="N119" s="15" t="str">
        <f aca="false">IF(OR(LEFT(G119,1)="A",LEFT(G119,1)="B"),"◎","")</f>
        <v/>
      </c>
      <c r="O119" s="19"/>
      <c r="P119" s="19"/>
      <c r="Q119" s="19"/>
      <c r="R119" s="19"/>
      <c r="S119" s="19"/>
      <c r="T119" s="19"/>
      <c r="U119" s="19"/>
      <c r="V119" s="19"/>
      <c r="W119" s="15" t="str">
        <f aca="false">IF((N(Q119)+N(R119)+N(S119)+N(T119)+N(U119)+N(V119))=0,"",IF(AND((N(Q119)+N(R119)+N(T119))&gt;=2,(N(Q119)+N(R119)+N(S119)+N(T119)+N(U119)+N(V119))&gt;=4),"高",IF(AND((N(Q119)+N(R119)+N(T119))&gt;=1,(N(Q119)+N(R119)+N(S119)+N(T119)+N(U119)+N(V119))=3),"中","低")))</f>
        <v/>
      </c>
      <c r="X119" s="15" t="str">
        <f aca="false">IF(L119="中位60%",IF(W119="高",3,IF(W119="中",2,IF(W119="低",1,0)))+IF(M119="◎",1,0)+IF(N119="◎",1,0)+IF(O119="○",1,0)+IF(P119="○",1,0),"")</f>
        <v/>
      </c>
      <c r="Y119" s="20"/>
      <c r="Z119" s="18"/>
      <c r="AA119" s="20"/>
      <c r="AB119" s="20"/>
    </row>
    <row r="120" customFormat="false" ht="15" hidden="false" customHeight="false" outlineLevel="0" collapsed="false">
      <c r="A120" s="13" t="s">
        <v>316</v>
      </c>
      <c r="B120" s="14" t="s">
        <v>317</v>
      </c>
      <c r="C120" s="15" t="s">
        <v>61</v>
      </c>
      <c r="D120" s="15" t="n">
        <v>8</v>
      </c>
      <c r="E120" s="14" t="s">
        <v>62</v>
      </c>
      <c r="F120" s="15" t="s">
        <v>63</v>
      </c>
      <c r="G120" s="16" t="s">
        <v>64</v>
      </c>
      <c r="H120" s="17" t="n">
        <v>1</v>
      </c>
      <c r="I120" s="18"/>
      <c r="J120" s="15" t="n">
        <f aca="false">IF(AND(H120=1,N(I120)&gt;0),1,0)</f>
        <v>0</v>
      </c>
      <c r="K120" s="15" t="str">
        <f aca="false">IF(J120=1,SUMPRODUCT(($J$5:$J$312=1)*(N($I$5:$I$312)&gt;N(I120)))+1,"")</f>
        <v/>
      </c>
      <c r="L120" s="15" t="str">
        <f aca="false">IF(J120&lt;&gt;1,"",IF(K120&lt;=ROUND(SUM($J$5:$J$312)*0.2,0),"上位20%",IF(K120&lt;=ROUND(SUM($J$5:$J$312)*0.8,0),"中位60%","下位20%")))</f>
        <v/>
      </c>
      <c r="M120" s="15" t="str">
        <f aca="false">IF(F120="あり","◎","")</f>
        <v>◎</v>
      </c>
      <c r="N120" s="15" t="str">
        <f aca="false">IF(OR(LEFT(G120,1)="A",LEFT(G120,1)="B"),"◎","")</f>
        <v/>
      </c>
      <c r="O120" s="19"/>
      <c r="P120" s="19"/>
      <c r="Q120" s="19"/>
      <c r="R120" s="19"/>
      <c r="S120" s="19"/>
      <c r="T120" s="19"/>
      <c r="U120" s="19"/>
      <c r="V120" s="19"/>
      <c r="W120" s="15" t="str">
        <f aca="false">IF((N(Q120)+N(R120)+N(S120)+N(T120)+N(U120)+N(V120))=0,"",IF(AND((N(Q120)+N(R120)+N(T120))&gt;=2,(N(Q120)+N(R120)+N(S120)+N(T120)+N(U120)+N(V120))&gt;=4),"高",IF(AND((N(Q120)+N(R120)+N(T120))&gt;=1,(N(Q120)+N(R120)+N(S120)+N(T120)+N(U120)+N(V120))=3),"中","低")))</f>
        <v/>
      </c>
      <c r="X120" s="15" t="str">
        <f aca="false">IF(L120="中位60%",IF(W120="高",3,IF(W120="中",2,IF(W120="低",1,0)))+IF(M120="◎",1,0)+IF(N120="◎",1,0)+IF(O120="○",1,0)+IF(P120="○",1,0),"")</f>
        <v/>
      </c>
      <c r="Y120" s="20"/>
      <c r="Z120" s="18"/>
      <c r="AA120" s="20"/>
      <c r="AB120" s="20"/>
    </row>
    <row r="121" customFormat="false" ht="15" hidden="false" customHeight="false" outlineLevel="0" collapsed="false">
      <c r="A121" s="13" t="s">
        <v>318</v>
      </c>
      <c r="B121" s="14" t="s">
        <v>319</v>
      </c>
      <c r="C121" s="15" t="s">
        <v>61</v>
      </c>
      <c r="D121" s="15" t="n">
        <v>8</v>
      </c>
      <c r="E121" s="14" t="s">
        <v>117</v>
      </c>
      <c r="F121" s="15" t="s">
        <v>63</v>
      </c>
      <c r="G121" s="14"/>
      <c r="H121" s="17" t="n">
        <v>1</v>
      </c>
      <c r="I121" s="18"/>
      <c r="J121" s="15" t="n">
        <f aca="false">IF(AND(H121=1,N(I121)&gt;0),1,0)</f>
        <v>0</v>
      </c>
      <c r="K121" s="15" t="str">
        <f aca="false">IF(J121=1,SUMPRODUCT(($J$5:$J$312=1)*(N($I$5:$I$312)&gt;N(I121)))+1,"")</f>
        <v/>
      </c>
      <c r="L121" s="15" t="str">
        <f aca="false">IF(J121&lt;&gt;1,"",IF(K121&lt;=ROUND(SUM($J$5:$J$312)*0.2,0),"上位20%",IF(K121&lt;=ROUND(SUM($J$5:$J$312)*0.8,0),"中位60%","下位20%")))</f>
        <v/>
      </c>
      <c r="M121" s="15" t="str">
        <f aca="false">IF(F121="あり","◎","")</f>
        <v>◎</v>
      </c>
      <c r="N121" s="15" t="str">
        <f aca="false">IF(OR(LEFT(G121,1)="A",LEFT(G121,1)="B"),"◎","")</f>
        <v/>
      </c>
      <c r="O121" s="19"/>
      <c r="P121" s="19"/>
      <c r="Q121" s="19"/>
      <c r="R121" s="19"/>
      <c r="S121" s="19"/>
      <c r="T121" s="19"/>
      <c r="U121" s="19"/>
      <c r="V121" s="19"/>
      <c r="W121" s="15" t="str">
        <f aca="false">IF((N(Q121)+N(R121)+N(S121)+N(T121)+N(U121)+N(V121))=0,"",IF(AND((N(Q121)+N(R121)+N(T121))&gt;=2,(N(Q121)+N(R121)+N(S121)+N(T121)+N(U121)+N(V121))&gt;=4),"高",IF(AND((N(Q121)+N(R121)+N(T121))&gt;=1,(N(Q121)+N(R121)+N(S121)+N(T121)+N(U121)+N(V121))=3),"中","低")))</f>
        <v/>
      </c>
      <c r="X121" s="15" t="str">
        <f aca="false">IF(L121="中位60%",IF(W121="高",3,IF(W121="中",2,IF(W121="低",1,0)))+IF(M121="◎",1,0)+IF(N121="◎",1,0)+IF(O121="○",1,0)+IF(P121="○",1,0),"")</f>
        <v/>
      </c>
      <c r="Y121" s="20"/>
      <c r="Z121" s="18"/>
      <c r="AA121" s="20"/>
      <c r="AB121" s="20"/>
    </row>
    <row r="122" customFormat="false" ht="15" hidden="false" customHeight="false" outlineLevel="0" collapsed="false">
      <c r="A122" s="13" t="s">
        <v>320</v>
      </c>
      <c r="B122" s="14" t="s">
        <v>321</v>
      </c>
      <c r="C122" s="15" t="s">
        <v>61</v>
      </c>
      <c r="D122" s="15" t="n">
        <v>9</v>
      </c>
      <c r="E122" s="14" t="s">
        <v>75</v>
      </c>
      <c r="F122" s="15" t="s">
        <v>80</v>
      </c>
      <c r="G122" s="16" t="s">
        <v>76</v>
      </c>
      <c r="H122" s="17" t="n">
        <v>1</v>
      </c>
      <c r="I122" s="18"/>
      <c r="J122" s="15" t="n">
        <f aca="false">IF(AND(H122=1,N(I122)&gt;0),1,0)</f>
        <v>0</v>
      </c>
      <c r="K122" s="15" t="str">
        <f aca="false">IF(J122=1,SUMPRODUCT(($J$5:$J$312=1)*(N($I$5:$I$312)&gt;N(I122)))+1,"")</f>
        <v/>
      </c>
      <c r="L122" s="15" t="str">
        <f aca="false">IF(J122&lt;&gt;1,"",IF(K122&lt;=ROUND(SUM($J$5:$J$312)*0.2,0),"上位20%",IF(K122&lt;=ROUND(SUM($J$5:$J$312)*0.8,0),"中位60%","下位20%")))</f>
        <v/>
      </c>
      <c r="M122" s="15" t="str">
        <f aca="false">IF(F122="あり","◎","")</f>
        <v/>
      </c>
      <c r="N122" s="15" t="str">
        <f aca="false">IF(OR(LEFT(G122,1)="A",LEFT(G122,1)="B"),"◎","")</f>
        <v>◎</v>
      </c>
      <c r="O122" s="19"/>
      <c r="P122" s="19"/>
      <c r="Q122" s="19"/>
      <c r="R122" s="19"/>
      <c r="S122" s="19"/>
      <c r="T122" s="19"/>
      <c r="U122" s="19"/>
      <c r="V122" s="19"/>
      <c r="W122" s="15" t="str">
        <f aca="false">IF((N(Q122)+N(R122)+N(S122)+N(T122)+N(U122)+N(V122))=0,"",IF(AND((N(Q122)+N(R122)+N(T122))&gt;=2,(N(Q122)+N(R122)+N(S122)+N(T122)+N(U122)+N(V122))&gt;=4),"高",IF(AND((N(Q122)+N(R122)+N(T122))&gt;=1,(N(Q122)+N(R122)+N(S122)+N(T122)+N(U122)+N(V122))=3),"中","低")))</f>
        <v/>
      </c>
      <c r="X122" s="15" t="str">
        <f aca="false">IF(L122="中位60%",IF(W122="高",3,IF(W122="中",2,IF(W122="低",1,0)))+IF(M122="◎",1,0)+IF(N122="◎",1,0)+IF(O122="○",1,0)+IF(P122="○",1,0),"")</f>
        <v/>
      </c>
      <c r="Y122" s="20"/>
      <c r="Z122" s="18"/>
      <c r="AA122" s="20"/>
      <c r="AB122" s="20"/>
    </row>
    <row r="123" customFormat="false" ht="15" hidden="false" customHeight="false" outlineLevel="0" collapsed="false">
      <c r="A123" s="13" t="s">
        <v>322</v>
      </c>
      <c r="B123" s="14" t="s">
        <v>323</v>
      </c>
      <c r="C123" s="15" t="s">
        <v>61</v>
      </c>
      <c r="D123" s="15" t="n">
        <v>9</v>
      </c>
      <c r="E123" s="14" t="s">
        <v>101</v>
      </c>
      <c r="F123" s="15" t="s">
        <v>63</v>
      </c>
      <c r="G123" s="16" t="s">
        <v>64</v>
      </c>
      <c r="H123" s="17" t="n">
        <v>1</v>
      </c>
      <c r="I123" s="18"/>
      <c r="J123" s="15" t="n">
        <f aca="false">IF(AND(H123=1,N(I123)&gt;0),1,0)</f>
        <v>0</v>
      </c>
      <c r="K123" s="15" t="str">
        <f aca="false">IF(J123=1,SUMPRODUCT(($J$5:$J$312=1)*(N($I$5:$I$312)&gt;N(I123)))+1,"")</f>
        <v/>
      </c>
      <c r="L123" s="15" t="str">
        <f aca="false">IF(J123&lt;&gt;1,"",IF(K123&lt;=ROUND(SUM($J$5:$J$312)*0.2,0),"上位20%",IF(K123&lt;=ROUND(SUM($J$5:$J$312)*0.8,0),"中位60%","下位20%")))</f>
        <v/>
      </c>
      <c r="M123" s="15" t="str">
        <f aca="false">IF(F123="あり","◎","")</f>
        <v>◎</v>
      </c>
      <c r="N123" s="15" t="str">
        <f aca="false">IF(OR(LEFT(G123,1)="A",LEFT(G123,1)="B"),"◎","")</f>
        <v/>
      </c>
      <c r="O123" s="19"/>
      <c r="P123" s="19"/>
      <c r="Q123" s="19"/>
      <c r="R123" s="19"/>
      <c r="S123" s="19"/>
      <c r="T123" s="19"/>
      <c r="U123" s="19"/>
      <c r="V123" s="19"/>
      <c r="W123" s="15" t="str">
        <f aca="false">IF((N(Q123)+N(R123)+N(S123)+N(T123)+N(U123)+N(V123))=0,"",IF(AND((N(Q123)+N(R123)+N(T123))&gt;=2,(N(Q123)+N(R123)+N(S123)+N(T123)+N(U123)+N(V123))&gt;=4),"高",IF(AND((N(Q123)+N(R123)+N(T123))&gt;=1,(N(Q123)+N(R123)+N(S123)+N(T123)+N(U123)+N(V123))=3),"中","低")))</f>
        <v/>
      </c>
      <c r="X123" s="15" t="str">
        <f aca="false">IF(L123="中位60%",IF(W123="高",3,IF(W123="中",2,IF(W123="低",1,0)))+IF(M123="◎",1,0)+IF(N123="◎",1,0)+IF(O123="○",1,0)+IF(P123="○",1,0),"")</f>
        <v/>
      </c>
      <c r="Y123" s="20"/>
      <c r="Z123" s="18"/>
      <c r="AA123" s="20"/>
      <c r="AB123" s="20"/>
    </row>
    <row r="124" customFormat="false" ht="15" hidden="false" customHeight="false" outlineLevel="0" collapsed="false">
      <c r="A124" s="13" t="s">
        <v>324</v>
      </c>
      <c r="B124" s="14" t="s">
        <v>325</v>
      </c>
      <c r="C124" s="15" t="s">
        <v>61</v>
      </c>
      <c r="D124" s="15" t="n">
        <v>9</v>
      </c>
      <c r="E124" s="14" t="s">
        <v>101</v>
      </c>
      <c r="F124" s="15" t="s">
        <v>63</v>
      </c>
      <c r="G124" s="16" t="s">
        <v>110</v>
      </c>
      <c r="H124" s="17" t="n">
        <v>1</v>
      </c>
      <c r="I124" s="18"/>
      <c r="J124" s="15" t="n">
        <f aca="false">IF(AND(H124=1,N(I124)&gt;0),1,0)</f>
        <v>0</v>
      </c>
      <c r="K124" s="15" t="str">
        <f aca="false">IF(J124=1,SUMPRODUCT(($J$5:$J$312=1)*(N($I$5:$I$312)&gt;N(I124)))+1,"")</f>
        <v/>
      </c>
      <c r="L124" s="15" t="str">
        <f aca="false">IF(J124&lt;&gt;1,"",IF(K124&lt;=ROUND(SUM($J$5:$J$312)*0.2,0),"上位20%",IF(K124&lt;=ROUND(SUM($J$5:$J$312)*0.8,0),"中位60%","下位20%")))</f>
        <v/>
      </c>
      <c r="M124" s="15" t="str">
        <f aca="false">IF(F124="あり","◎","")</f>
        <v>◎</v>
      </c>
      <c r="N124" s="15" t="str">
        <f aca="false">IF(OR(LEFT(G124,1)="A",LEFT(G124,1)="B"),"◎","")</f>
        <v>◎</v>
      </c>
      <c r="O124" s="19"/>
      <c r="P124" s="19"/>
      <c r="Q124" s="19"/>
      <c r="R124" s="19"/>
      <c r="S124" s="19"/>
      <c r="T124" s="19"/>
      <c r="U124" s="19"/>
      <c r="V124" s="19"/>
      <c r="W124" s="15" t="str">
        <f aca="false">IF((N(Q124)+N(R124)+N(S124)+N(T124)+N(U124)+N(V124))=0,"",IF(AND((N(Q124)+N(R124)+N(T124))&gt;=2,(N(Q124)+N(R124)+N(S124)+N(T124)+N(U124)+N(V124))&gt;=4),"高",IF(AND((N(Q124)+N(R124)+N(T124))&gt;=1,(N(Q124)+N(R124)+N(S124)+N(T124)+N(U124)+N(V124))=3),"中","低")))</f>
        <v/>
      </c>
      <c r="X124" s="15" t="str">
        <f aca="false">IF(L124="中位60%",IF(W124="高",3,IF(W124="中",2,IF(W124="低",1,0)))+IF(M124="◎",1,0)+IF(N124="◎",1,0)+IF(O124="○",1,0)+IF(P124="○",1,0),"")</f>
        <v/>
      </c>
      <c r="Y124" s="20"/>
      <c r="Z124" s="18"/>
      <c r="AA124" s="20"/>
      <c r="AB124" s="20"/>
    </row>
    <row r="125" customFormat="false" ht="15" hidden="false" customHeight="false" outlineLevel="0" collapsed="false">
      <c r="A125" s="13" t="s">
        <v>326</v>
      </c>
      <c r="B125" s="14" t="s">
        <v>327</v>
      </c>
      <c r="C125" s="15" t="s">
        <v>61</v>
      </c>
      <c r="D125" s="15" t="n">
        <v>9</v>
      </c>
      <c r="E125" s="14" t="s">
        <v>94</v>
      </c>
      <c r="F125" s="15" t="s">
        <v>63</v>
      </c>
      <c r="G125" s="16" t="s">
        <v>64</v>
      </c>
      <c r="H125" s="17" t="n">
        <v>1</v>
      </c>
      <c r="I125" s="18"/>
      <c r="J125" s="15" t="n">
        <f aca="false">IF(AND(H125=1,N(I125)&gt;0),1,0)</f>
        <v>0</v>
      </c>
      <c r="K125" s="15" t="str">
        <f aca="false">IF(J125=1,SUMPRODUCT(($J$5:$J$312=1)*(N($I$5:$I$312)&gt;N(I125)))+1,"")</f>
        <v/>
      </c>
      <c r="L125" s="15" t="str">
        <f aca="false">IF(J125&lt;&gt;1,"",IF(K125&lt;=ROUND(SUM($J$5:$J$312)*0.2,0),"上位20%",IF(K125&lt;=ROUND(SUM($J$5:$J$312)*0.8,0),"中位60%","下位20%")))</f>
        <v/>
      </c>
      <c r="M125" s="15" t="str">
        <f aca="false">IF(F125="あり","◎","")</f>
        <v>◎</v>
      </c>
      <c r="N125" s="15" t="str">
        <f aca="false">IF(OR(LEFT(G125,1)="A",LEFT(G125,1)="B"),"◎","")</f>
        <v/>
      </c>
      <c r="O125" s="19"/>
      <c r="P125" s="19"/>
      <c r="Q125" s="19"/>
      <c r="R125" s="19"/>
      <c r="S125" s="19"/>
      <c r="T125" s="19"/>
      <c r="U125" s="19"/>
      <c r="V125" s="19"/>
      <c r="W125" s="15" t="str">
        <f aca="false">IF((N(Q125)+N(R125)+N(S125)+N(T125)+N(U125)+N(V125))=0,"",IF(AND((N(Q125)+N(R125)+N(T125))&gt;=2,(N(Q125)+N(R125)+N(S125)+N(T125)+N(U125)+N(V125))&gt;=4),"高",IF(AND((N(Q125)+N(R125)+N(T125))&gt;=1,(N(Q125)+N(R125)+N(S125)+N(T125)+N(U125)+N(V125))=3),"中","低")))</f>
        <v/>
      </c>
      <c r="X125" s="15" t="str">
        <f aca="false">IF(L125="中位60%",IF(W125="高",3,IF(W125="中",2,IF(W125="低",1,0)))+IF(M125="◎",1,0)+IF(N125="◎",1,0)+IF(O125="○",1,0)+IF(P125="○",1,0),"")</f>
        <v/>
      </c>
      <c r="Y125" s="20"/>
      <c r="Z125" s="18"/>
      <c r="AA125" s="20"/>
      <c r="AB125" s="20"/>
    </row>
    <row r="126" customFormat="false" ht="15" hidden="false" customHeight="false" outlineLevel="0" collapsed="false">
      <c r="A126" s="13" t="s">
        <v>328</v>
      </c>
      <c r="B126" s="14" t="s">
        <v>329</v>
      </c>
      <c r="C126" s="15" t="s">
        <v>61</v>
      </c>
      <c r="D126" s="15" t="n">
        <v>9</v>
      </c>
      <c r="E126" s="14" t="s">
        <v>79</v>
      </c>
      <c r="F126" s="15" t="s">
        <v>63</v>
      </c>
      <c r="G126" s="16" t="s">
        <v>64</v>
      </c>
      <c r="H126" s="17" t="n">
        <v>1</v>
      </c>
      <c r="I126" s="18"/>
      <c r="J126" s="15" t="n">
        <f aca="false">IF(AND(H126=1,N(I126)&gt;0),1,0)</f>
        <v>0</v>
      </c>
      <c r="K126" s="15" t="str">
        <f aca="false">IF(J126=1,SUMPRODUCT(($J$5:$J$312=1)*(N($I$5:$I$312)&gt;N(I126)))+1,"")</f>
        <v/>
      </c>
      <c r="L126" s="15" t="str">
        <f aca="false">IF(J126&lt;&gt;1,"",IF(K126&lt;=ROUND(SUM($J$5:$J$312)*0.2,0),"上位20%",IF(K126&lt;=ROUND(SUM($J$5:$J$312)*0.8,0),"中位60%","下位20%")))</f>
        <v/>
      </c>
      <c r="M126" s="15" t="str">
        <f aca="false">IF(F126="あり","◎","")</f>
        <v>◎</v>
      </c>
      <c r="N126" s="15" t="str">
        <f aca="false">IF(OR(LEFT(G126,1)="A",LEFT(G126,1)="B"),"◎","")</f>
        <v/>
      </c>
      <c r="O126" s="19"/>
      <c r="P126" s="19"/>
      <c r="Q126" s="19"/>
      <c r="R126" s="19"/>
      <c r="S126" s="19"/>
      <c r="T126" s="19"/>
      <c r="U126" s="19"/>
      <c r="V126" s="19"/>
      <c r="W126" s="15" t="str">
        <f aca="false">IF((N(Q126)+N(R126)+N(S126)+N(T126)+N(U126)+N(V126))=0,"",IF(AND((N(Q126)+N(R126)+N(T126))&gt;=2,(N(Q126)+N(R126)+N(S126)+N(T126)+N(U126)+N(V126))&gt;=4),"高",IF(AND((N(Q126)+N(R126)+N(T126))&gt;=1,(N(Q126)+N(R126)+N(S126)+N(T126)+N(U126)+N(V126))=3),"中","低")))</f>
        <v/>
      </c>
      <c r="X126" s="15" t="str">
        <f aca="false">IF(L126="中位60%",IF(W126="高",3,IF(W126="中",2,IF(W126="低",1,0)))+IF(M126="◎",1,0)+IF(N126="◎",1,0)+IF(O126="○",1,0)+IF(P126="○",1,0),"")</f>
        <v/>
      </c>
      <c r="Y126" s="20"/>
      <c r="Z126" s="18"/>
      <c r="AA126" s="20"/>
      <c r="AB126" s="20"/>
    </row>
    <row r="127" customFormat="false" ht="15" hidden="false" customHeight="false" outlineLevel="0" collapsed="false">
      <c r="A127" s="13" t="s">
        <v>330</v>
      </c>
      <c r="B127" s="14" t="s">
        <v>331</v>
      </c>
      <c r="C127" s="15" t="s">
        <v>61</v>
      </c>
      <c r="D127" s="15" t="n">
        <v>9</v>
      </c>
      <c r="E127" s="14" t="s">
        <v>91</v>
      </c>
      <c r="F127" s="15" t="s">
        <v>63</v>
      </c>
      <c r="G127" s="16" t="s">
        <v>110</v>
      </c>
      <c r="H127" s="17" t="n">
        <v>1</v>
      </c>
      <c r="I127" s="18"/>
      <c r="J127" s="15" t="n">
        <f aca="false">IF(AND(H127=1,N(I127)&gt;0),1,0)</f>
        <v>0</v>
      </c>
      <c r="K127" s="15" t="str">
        <f aca="false">IF(J127=1,SUMPRODUCT(($J$5:$J$312=1)*(N($I$5:$I$312)&gt;N(I127)))+1,"")</f>
        <v/>
      </c>
      <c r="L127" s="15" t="str">
        <f aca="false">IF(J127&lt;&gt;1,"",IF(K127&lt;=ROUND(SUM($J$5:$J$312)*0.2,0),"上位20%",IF(K127&lt;=ROUND(SUM($J$5:$J$312)*0.8,0),"中位60%","下位20%")))</f>
        <v/>
      </c>
      <c r="M127" s="15" t="str">
        <f aca="false">IF(F127="あり","◎","")</f>
        <v>◎</v>
      </c>
      <c r="N127" s="15" t="str">
        <f aca="false">IF(OR(LEFT(G127,1)="A",LEFT(G127,1)="B"),"◎","")</f>
        <v>◎</v>
      </c>
      <c r="O127" s="19"/>
      <c r="P127" s="19"/>
      <c r="Q127" s="19"/>
      <c r="R127" s="19"/>
      <c r="S127" s="19"/>
      <c r="T127" s="19"/>
      <c r="U127" s="19"/>
      <c r="V127" s="19"/>
      <c r="W127" s="15" t="str">
        <f aca="false">IF((N(Q127)+N(R127)+N(S127)+N(T127)+N(U127)+N(V127))=0,"",IF(AND((N(Q127)+N(R127)+N(T127))&gt;=2,(N(Q127)+N(R127)+N(S127)+N(T127)+N(U127)+N(V127))&gt;=4),"高",IF(AND((N(Q127)+N(R127)+N(T127))&gt;=1,(N(Q127)+N(R127)+N(S127)+N(T127)+N(U127)+N(V127))=3),"中","低")))</f>
        <v/>
      </c>
      <c r="X127" s="15" t="str">
        <f aca="false">IF(L127="中位60%",IF(W127="高",3,IF(W127="中",2,IF(W127="低",1,0)))+IF(M127="◎",1,0)+IF(N127="◎",1,0)+IF(O127="○",1,0)+IF(P127="○",1,0),"")</f>
        <v/>
      </c>
      <c r="Y127" s="20"/>
      <c r="Z127" s="18"/>
      <c r="AA127" s="20"/>
      <c r="AB127" s="20"/>
    </row>
    <row r="128" customFormat="false" ht="15" hidden="false" customHeight="false" outlineLevel="0" collapsed="false">
      <c r="A128" s="13" t="s">
        <v>332</v>
      </c>
      <c r="B128" s="14" t="s">
        <v>333</v>
      </c>
      <c r="C128" s="15" t="s">
        <v>61</v>
      </c>
      <c r="D128" s="15" t="n">
        <v>9</v>
      </c>
      <c r="E128" s="14" t="s">
        <v>94</v>
      </c>
      <c r="F128" s="15" t="s">
        <v>63</v>
      </c>
      <c r="G128" s="16" t="s">
        <v>110</v>
      </c>
      <c r="H128" s="17" t="n">
        <v>1</v>
      </c>
      <c r="I128" s="18"/>
      <c r="J128" s="15" t="n">
        <f aca="false">IF(AND(H128=1,N(I128)&gt;0),1,0)</f>
        <v>0</v>
      </c>
      <c r="K128" s="15" t="str">
        <f aca="false">IF(J128=1,SUMPRODUCT(($J$5:$J$312=1)*(N($I$5:$I$312)&gt;N(I128)))+1,"")</f>
        <v/>
      </c>
      <c r="L128" s="15" t="str">
        <f aca="false">IF(J128&lt;&gt;1,"",IF(K128&lt;=ROUND(SUM($J$5:$J$312)*0.2,0),"上位20%",IF(K128&lt;=ROUND(SUM($J$5:$J$312)*0.8,0),"中位60%","下位20%")))</f>
        <v/>
      </c>
      <c r="M128" s="15" t="str">
        <f aca="false">IF(F128="あり","◎","")</f>
        <v>◎</v>
      </c>
      <c r="N128" s="15" t="str">
        <f aca="false">IF(OR(LEFT(G128,1)="A",LEFT(G128,1)="B"),"◎","")</f>
        <v>◎</v>
      </c>
      <c r="O128" s="19"/>
      <c r="P128" s="19"/>
      <c r="Q128" s="19"/>
      <c r="R128" s="19"/>
      <c r="S128" s="19"/>
      <c r="T128" s="19"/>
      <c r="U128" s="19"/>
      <c r="V128" s="19"/>
      <c r="W128" s="15" t="str">
        <f aca="false">IF((N(Q128)+N(R128)+N(S128)+N(T128)+N(U128)+N(V128))=0,"",IF(AND((N(Q128)+N(R128)+N(T128))&gt;=2,(N(Q128)+N(R128)+N(S128)+N(T128)+N(U128)+N(V128))&gt;=4),"高",IF(AND((N(Q128)+N(R128)+N(T128))&gt;=1,(N(Q128)+N(R128)+N(S128)+N(T128)+N(U128)+N(V128))=3),"中","低")))</f>
        <v/>
      </c>
      <c r="X128" s="15" t="str">
        <f aca="false">IF(L128="中位60%",IF(W128="高",3,IF(W128="中",2,IF(W128="低",1,0)))+IF(M128="◎",1,0)+IF(N128="◎",1,0)+IF(O128="○",1,0)+IF(P128="○",1,0),"")</f>
        <v/>
      </c>
      <c r="Y128" s="20"/>
      <c r="Z128" s="18"/>
      <c r="AA128" s="20"/>
      <c r="AB128" s="20"/>
    </row>
    <row r="129" customFormat="false" ht="15" hidden="false" customHeight="false" outlineLevel="0" collapsed="false">
      <c r="A129" s="13" t="s">
        <v>334</v>
      </c>
      <c r="B129" s="14" t="s">
        <v>335</v>
      </c>
      <c r="C129" s="15" t="s">
        <v>61</v>
      </c>
      <c r="D129" s="15" t="n">
        <v>9</v>
      </c>
      <c r="E129" s="14" t="s">
        <v>117</v>
      </c>
      <c r="F129" s="15" t="s">
        <v>80</v>
      </c>
      <c r="G129" s="16" t="s">
        <v>76</v>
      </c>
      <c r="H129" s="17" t="n">
        <v>1</v>
      </c>
      <c r="I129" s="18"/>
      <c r="J129" s="15" t="n">
        <f aca="false">IF(AND(H129=1,N(I129)&gt;0),1,0)</f>
        <v>0</v>
      </c>
      <c r="K129" s="15" t="str">
        <f aca="false">IF(J129=1,SUMPRODUCT(($J$5:$J$312=1)*(N($I$5:$I$312)&gt;N(I129)))+1,"")</f>
        <v/>
      </c>
      <c r="L129" s="15" t="str">
        <f aca="false">IF(J129&lt;&gt;1,"",IF(K129&lt;=ROUND(SUM($J$5:$J$312)*0.2,0),"上位20%",IF(K129&lt;=ROUND(SUM($J$5:$J$312)*0.8,0),"中位60%","下位20%")))</f>
        <v/>
      </c>
      <c r="M129" s="15" t="str">
        <f aca="false">IF(F129="あり","◎","")</f>
        <v/>
      </c>
      <c r="N129" s="15" t="str">
        <f aca="false">IF(OR(LEFT(G129,1)="A",LEFT(G129,1)="B"),"◎","")</f>
        <v>◎</v>
      </c>
      <c r="O129" s="19"/>
      <c r="P129" s="19"/>
      <c r="Q129" s="19"/>
      <c r="R129" s="19"/>
      <c r="S129" s="19"/>
      <c r="T129" s="19"/>
      <c r="U129" s="19"/>
      <c r="V129" s="19"/>
      <c r="W129" s="15" t="str">
        <f aca="false">IF((N(Q129)+N(R129)+N(S129)+N(T129)+N(U129)+N(V129))=0,"",IF(AND((N(Q129)+N(R129)+N(T129))&gt;=2,(N(Q129)+N(R129)+N(S129)+N(T129)+N(U129)+N(V129))&gt;=4),"高",IF(AND((N(Q129)+N(R129)+N(T129))&gt;=1,(N(Q129)+N(R129)+N(S129)+N(T129)+N(U129)+N(V129))=3),"中","低")))</f>
        <v/>
      </c>
      <c r="X129" s="15" t="str">
        <f aca="false">IF(L129="中位60%",IF(W129="高",3,IF(W129="中",2,IF(W129="低",1,0)))+IF(M129="◎",1,0)+IF(N129="◎",1,0)+IF(O129="○",1,0)+IF(P129="○",1,0),"")</f>
        <v/>
      </c>
      <c r="Y129" s="20"/>
      <c r="Z129" s="18"/>
      <c r="AA129" s="20"/>
      <c r="AB129" s="20"/>
    </row>
    <row r="130" customFormat="false" ht="15" hidden="false" customHeight="false" outlineLevel="0" collapsed="false">
      <c r="A130" s="13" t="s">
        <v>336</v>
      </c>
      <c r="B130" s="14" t="s">
        <v>337</v>
      </c>
      <c r="C130" s="15" t="s">
        <v>61</v>
      </c>
      <c r="D130" s="15" t="n">
        <v>9</v>
      </c>
      <c r="E130" s="14" t="s">
        <v>91</v>
      </c>
      <c r="F130" s="15" t="s">
        <v>63</v>
      </c>
      <c r="G130" s="14"/>
      <c r="H130" s="17" t="n">
        <v>1</v>
      </c>
      <c r="I130" s="18"/>
      <c r="J130" s="15" t="n">
        <f aca="false">IF(AND(H130=1,N(I130)&gt;0),1,0)</f>
        <v>0</v>
      </c>
      <c r="K130" s="15" t="str">
        <f aca="false">IF(J130=1,SUMPRODUCT(($J$5:$J$312=1)*(N($I$5:$I$312)&gt;N(I130)))+1,"")</f>
        <v/>
      </c>
      <c r="L130" s="15" t="str">
        <f aca="false">IF(J130&lt;&gt;1,"",IF(K130&lt;=ROUND(SUM($J$5:$J$312)*0.2,0),"上位20%",IF(K130&lt;=ROUND(SUM($J$5:$J$312)*0.8,0),"中位60%","下位20%")))</f>
        <v/>
      </c>
      <c r="M130" s="15" t="str">
        <f aca="false">IF(F130="あり","◎","")</f>
        <v>◎</v>
      </c>
      <c r="N130" s="15" t="str">
        <f aca="false">IF(OR(LEFT(G130,1)="A",LEFT(G130,1)="B"),"◎","")</f>
        <v/>
      </c>
      <c r="O130" s="19"/>
      <c r="P130" s="19"/>
      <c r="Q130" s="19"/>
      <c r="R130" s="19"/>
      <c r="S130" s="19"/>
      <c r="T130" s="19"/>
      <c r="U130" s="19"/>
      <c r="V130" s="19"/>
      <c r="W130" s="15" t="str">
        <f aca="false">IF((N(Q130)+N(R130)+N(S130)+N(T130)+N(U130)+N(V130))=0,"",IF(AND((N(Q130)+N(R130)+N(T130))&gt;=2,(N(Q130)+N(R130)+N(S130)+N(T130)+N(U130)+N(V130))&gt;=4),"高",IF(AND((N(Q130)+N(R130)+N(T130))&gt;=1,(N(Q130)+N(R130)+N(S130)+N(T130)+N(U130)+N(V130))=3),"中","低")))</f>
        <v/>
      </c>
      <c r="X130" s="15" t="str">
        <f aca="false">IF(L130="中位60%",IF(W130="高",3,IF(W130="中",2,IF(W130="低",1,0)))+IF(M130="◎",1,0)+IF(N130="◎",1,0)+IF(O130="○",1,0)+IF(P130="○",1,0),"")</f>
        <v/>
      </c>
      <c r="Y130" s="20"/>
      <c r="Z130" s="18"/>
      <c r="AA130" s="20"/>
      <c r="AB130" s="20"/>
    </row>
    <row r="131" customFormat="false" ht="15" hidden="false" customHeight="false" outlineLevel="0" collapsed="false">
      <c r="A131" s="13" t="s">
        <v>338</v>
      </c>
      <c r="B131" s="14" t="s">
        <v>339</v>
      </c>
      <c r="C131" s="15" t="s">
        <v>61</v>
      </c>
      <c r="D131" s="15" t="n">
        <v>4</v>
      </c>
      <c r="E131" s="14" t="s">
        <v>79</v>
      </c>
      <c r="F131" s="15" t="s">
        <v>80</v>
      </c>
      <c r="G131" s="14"/>
      <c r="H131" s="17" t="n">
        <v>1</v>
      </c>
      <c r="I131" s="18"/>
      <c r="J131" s="15" t="n">
        <f aca="false">IF(AND(H131=1,N(I131)&gt;0),1,0)</f>
        <v>0</v>
      </c>
      <c r="K131" s="15" t="str">
        <f aca="false">IF(J131=1,SUMPRODUCT(($J$5:$J$312=1)*(N($I$5:$I$312)&gt;N(I131)))+1,"")</f>
        <v/>
      </c>
      <c r="L131" s="15" t="str">
        <f aca="false">IF(J131&lt;&gt;1,"",IF(K131&lt;=ROUND(SUM($J$5:$J$312)*0.2,0),"上位20%",IF(K131&lt;=ROUND(SUM($J$5:$J$312)*0.8,0),"中位60%","下位20%")))</f>
        <v/>
      </c>
      <c r="M131" s="15" t="str">
        <f aca="false">IF(F131="あり","◎","")</f>
        <v/>
      </c>
      <c r="N131" s="15" t="str">
        <f aca="false">IF(OR(LEFT(G131,1)="A",LEFT(G131,1)="B"),"◎","")</f>
        <v/>
      </c>
      <c r="O131" s="19"/>
      <c r="P131" s="19"/>
      <c r="Q131" s="19"/>
      <c r="R131" s="19"/>
      <c r="S131" s="19"/>
      <c r="T131" s="19"/>
      <c r="U131" s="19"/>
      <c r="V131" s="19"/>
      <c r="W131" s="15" t="str">
        <f aca="false">IF((N(Q131)+N(R131)+N(S131)+N(T131)+N(U131)+N(V131))=0,"",IF(AND((N(Q131)+N(R131)+N(T131))&gt;=2,(N(Q131)+N(R131)+N(S131)+N(T131)+N(U131)+N(V131))&gt;=4),"高",IF(AND((N(Q131)+N(R131)+N(T131))&gt;=1,(N(Q131)+N(R131)+N(S131)+N(T131)+N(U131)+N(V131))=3),"中","低")))</f>
        <v/>
      </c>
      <c r="X131" s="15" t="str">
        <f aca="false">IF(L131="中位60%",IF(W131="高",3,IF(W131="中",2,IF(W131="低",1,0)))+IF(M131="◎",1,0)+IF(N131="◎",1,0)+IF(O131="○",1,0)+IF(P131="○",1,0),"")</f>
        <v/>
      </c>
      <c r="Y131" s="20"/>
      <c r="Z131" s="18"/>
      <c r="AA131" s="20"/>
      <c r="AB131" s="20"/>
    </row>
    <row r="132" customFormat="false" ht="15" hidden="false" customHeight="false" outlineLevel="0" collapsed="false">
      <c r="A132" s="13" t="s">
        <v>340</v>
      </c>
      <c r="B132" s="14" t="s">
        <v>341</v>
      </c>
      <c r="C132" s="15" t="s">
        <v>61</v>
      </c>
      <c r="D132" s="15" t="n">
        <v>9</v>
      </c>
      <c r="E132" s="14" t="s">
        <v>83</v>
      </c>
      <c r="F132" s="15" t="s">
        <v>80</v>
      </c>
      <c r="G132" s="14"/>
      <c r="H132" s="17" t="n">
        <v>1</v>
      </c>
      <c r="I132" s="18"/>
      <c r="J132" s="15" t="n">
        <f aca="false">IF(AND(H132=1,N(I132)&gt;0),1,0)</f>
        <v>0</v>
      </c>
      <c r="K132" s="15" t="str">
        <f aca="false">IF(J132=1,SUMPRODUCT(($J$5:$J$312=1)*(N($I$5:$I$312)&gt;N(I132)))+1,"")</f>
        <v/>
      </c>
      <c r="L132" s="15" t="str">
        <f aca="false">IF(J132&lt;&gt;1,"",IF(K132&lt;=ROUND(SUM($J$5:$J$312)*0.2,0),"上位20%",IF(K132&lt;=ROUND(SUM($J$5:$J$312)*0.8,0),"中位60%","下位20%")))</f>
        <v/>
      </c>
      <c r="M132" s="15" t="str">
        <f aca="false">IF(F132="あり","◎","")</f>
        <v/>
      </c>
      <c r="N132" s="15" t="str">
        <f aca="false">IF(OR(LEFT(G132,1)="A",LEFT(G132,1)="B"),"◎","")</f>
        <v/>
      </c>
      <c r="O132" s="19"/>
      <c r="P132" s="19"/>
      <c r="Q132" s="19"/>
      <c r="R132" s="19"/>
      <c r="S132" s="19"/>
      <c r="T132" s="19"/>
      <c r="U132" s="19"/>
      <c r="V132" s="19"/>
      <c r="W132" s="15" t="str">
        <f aca="false">IF((N(Q132)+N(R132)+N(S132)+N(T132)+N(U132)+N(V132))=0,"",IF(AND((N(Q132)+N(R132)+N(T132))&gt;=2,(N(Q132)+N(R132)+N(S132)+N(T132)+N(U132)+N(V132))&gt;=4),"高",IF(AND((N(Q132)+N(R132)+N(T132))&gt;=1,(N(Q132)+N(R132)+N(S132)+N(T132)+N(U132)+N(V132))=3),"中","低")))</f>
        <v/>
      </c>
      <c r="X132" s="15" t="str">
        <f aca="false">IF(L132="中位60%",IF(W132="高",3,IF(W132="中",2,IF(W132="低",1,0)))+IF(M132="◎",1,0)+IF(N132="◎",1,0)+IF(O132="○",1,0)+IF(P132="○",1,0),"")</f>
        <v/>
      </c>
      <c r="Y132" s="20"/>
      <c r="Z132" s="18"/>
      <c r="AA132" s="20"/>
      <c r="AB132" s="20"/>
    </row>
    <row r="133" customFormat="false" ht="15" hidden="false" customHeight="false" outlineLevel="0" collapsed="false">
      <c r="A133" s="13" t="s">
        <v>342</v>
      </c>
      <c r="B133" s="14" t="s">
        <v>343</v>
      </c>
      <c r="C133" s="15" t="s">
        <v>61</v>
      </c>
      <c r="D133" s="15" t="n">
        <v>9</v>
      </c>
      <c r="E133" s="14" t="s">
        <v>75</v>
      </c>
      <c r="F133" s="15" t="s">
        <v>63</v>
      </c>
      <c r="G133" s="14"/>
      <c r="H133" s="17" t="n">
        <v>1</v>
      </c>
      <c r="I133" s="18"/>
      <c r="J133" s="15" t="n">
        <f aca="false">IF(AND(H133=1,N(I133)&gt;0),1,0)</f>
        <v>0</v>
      </c>
      <c r="K133" s="15" t="str">
        <f aca="false">IF(J133=1,SUMPRODUCT(($J$5:$J$312=1)*(N($I$5:$I$312)&gt;N(I133)))+1,"")</f>
        <v/>
      </c>
      <c r="L133" s="15" t="str">
        <f aca="false">IF(J133&lt;&gt;1,"",IF(K133&lt;=ROUND(SUM($J$5:$J$312)*0.2,0),"上位20%",IF(K133&lt;=ROUND(SUM($J$5:$J$312)*0.8,0),"中位60%","下位20%")))</f>
        <v/>
      </c>
      <c r="M133" s="15" t="str">
        <f aca="false">IF(F133="あり","◎","")</f>
        <v>◎</v>
      </c>
      <c r="N133" s="15" t="str">
        <f aca="false">IF(OR(LEFT(G133,1)="A",LEFT(G133,1)="B"),"◎","")</f>
        <v/>
      </c>
      <c r="O133" s="19"/>
      <c r="P133" s="19"/>
      <c r="Q133" s="19"/>
      <c r="R133" s="19"/>
      <c r="S133" s="19"/>
      <c r="T133" s="19"/>
      <c r="U133" s="19"/>
      <c r="V133" s="19"/>
      <c r="W133" s="15" t="str">
        <f aca="false">IF((N(Q133)+N(R133)+N(S133)+N(T133)+N(U133)+N(V133))=0,"",IF(AND((N(Q133)+N(R133)+N(T133))&gt;=2,(N(Q133)+N(R133)+N(S133)+N(T133)+N(U133)+N(V133))&gt;=4),"高",IF(AND((N(Q133)+N(R133)+N(T133))&gt;=1,(N(Q133)+N(R133)+N(S133)+N(T133)+N(U133)+N(V133))=3),"中","低")))</f>
        <v/>
      </c>
      <c r="X133" s="15" t="str">
        <f aca="false">IF(L133="中位60%",IF(W133="高",3,IF(W133="中",2,IF(W133="低",1,0)))+IF(M133="◎",1,0)+IF(N133="◎",1,0)+IF(O133="○",1,0)+IF(P133="○",1,0),"")</f>
        <v/>
      </c>
      <c r="Y133" s="20"/>
      <c r="Z133" s="18"/>
      <c r="AA133" s="20"/>
      <c r="AB133" s="20"/>
    </row>
    <row r="134" customFormat="false" ht="15" hidden="false" customHeight="false" outlineLevel="0" collapsed="false">
      <c r="A134" s="13" t="s">
        <v>344</v>
      </c>
      <c r="B134" s="14" t="s">
        <v>345</v>
      </c>
      <c r="C134" s="15" t="s">
        <v>61</v>
      </c>
      <c r="D134" s="15" t="n">
        <v>2</v>
      </c>
      <c r="E134" s="14" t="s">
        <v>83</v>
      </c>
      <c r="F134" s="15" t="s">
        <v>63</v>
      </c>
      <c r="G134" s="14"/>
      <c r="H134" s="17" t="n">
        <v>1</v>
      </c>
      <c r="I134" s="18"/>
      <c r="J134" s="15" t="n">
        <f aca="false">IF(AND(H134=1,N(I134)&gt;0),1,0)</f>
        <v>0</v>
      </c>
      <c r="K134" s="15" t="str">
        <f aca="false">IF(J134=1,SUMPRODUCT(($J$5:$J$312=1)*(N($I$5:$I$312)&gt;N(I134)))+1,"")</f>
        <v/>
      </c>
      <c r="L134" s="15" t="str">
        <f aca="false">IF(J134&lt;&gt;1,"",IF(K134&lt;=ROUND(SUM($J$5:$J$312)*0.2,0),"上位20%",IF(K134&lt;=ROUND(SUM($J$5:$J$312)*0.8,0),"中位60%","下位20%")))</f>
        <v/>
      </c>
      <c r="M134" s="15" t="str">
        <f aca="false">IF(F134="あり","◎","")</f>
        <v>◎</v>
      </c>
      <c r="N134" s="15" t="str">
        <f aca="false">IF(OR(LEFT(G134,1)="A",LEFT(G134,1)="B"),"◎","")</f>
        <v/>
      </c>
      <c r="O134" s="19"/>
      <c r="P134" s="19"/>
      <c r="Q134" s="19"/>
      <c r="R134" s="19"/>
      <c r="S134" s="19"/>
      <c r="T134" s="19"/>
      <c r="U134" s="19"/>
      <c r="V134" s="19"/>
      <c r="W134" s="15" t="str">
        <f aca="false">IF((N(Q134)+N(R134)+N(S134)+N(T134)+N(U134)+N(V134))=0,"",IF(AND((N(Q134)+N(R134)+N(T134))&gt;=2,(N(Q134)+N(R134)+N(S134)+N(T134)+N(U134)+N(V134))&gt;=4),"高",IF(AND((N(Q134)+N(R134)+N(T134))&gt;=1,(N(Q134)+N(R134)+N(S134)+N(T134)+N(U134)+N(V134))=3),"中","低")))</f>
        <v/>
      </c>
      <c r="X134" s="15" t="str">
        <f aca="false">IF(L134="中位60%",IF(W134="高",3,IF(W134="中",2,IF(W134="低",1,0)))+IF(M134="◎",1,0)+IF(N134="◎",1,0)+IF(O134="○",1,0)+IF(P134="○",1,0),"")</f>
        <v/>
      </c>
      <c r="Y134" s="20"/>
      <c r="Z134" s="18"/>
      <c r="AA134" s="20"/>
      <c r="AB134" s="20"/>
    </row>
    <row r="135" customFormat="false" ht="15" hidden="false" customHeight="false" outlineLevel="0" collapsed="false">
      <c r="A135" s="13" t="s">
        <v>346</v>
      </c>
      <c r="B135" s="14" t="s">
        <v>347</v>
      </c>
      <c r="C135" s="15" t="s">
        <v>61</v>
      </c>
      <c r="D135" s="15" t="n">
        <v>9</v>
      </c>
      <c r="E135" s="14" t="s">
        <v>62</v>
      </c>
      <c r="F135" s="15" t="s">
        <v>63</v>
      </c>
      <c r="G135" s="14"/>
      <c r="H135" s="17" t="n">
        <v>1</v>
      </c>
      <c r="I135" s="18"/>
      <c r="J135" s="15" t="n">
        <f aca="false">IF(AND(H135=1,N(I135)&gt;0),1,0)</f>
        <v>0</v>
      </c>
      <c r="K135" s="15" t="str">
        <f aca="false">IF(J135=1,SUMPRODUCT(($J$5:$J$312=1)*(N($I$5:$I$312)&gt;N(I135)))+1,"")</f>
        <v/>
      </c>
      <c r="L135" s="15" t="str">
        <f aca="false">IF(J135&lt;&gt;1,"",IF(K135&lt;=ROUND(SUM($J$5:$J$312)*0.2,0),"上位20%",IF(K135&lt;=ROUND(SUM($J$5:$J$312)*0.8,0),"中位60%","下位20%")))</f>
        <v/>
      </c>
      <c r="M135" s="15" t="str">
        <f aca="false">IF(F135="あり","◎","")</f>
        <v>◎</v>
      </c>
      <c r="N135" s="15" t="str">
        <f aca="false">IF(OR(LEFT(G135,1)="A",LEFT(G135,1)="B"),"◎","")</f>
        <v/>
      </c>
      <c r="O135" s="19"/>
      <c r="P135" s="19"/>
      <c r="Q135" s="19"/>
      <c r="R135" s="19"/>
      <c r="S135" s="19"/>
      <c r="T135" s="19"/>
      <c r="U135" s="19"/>
      <c r="V135" s="19"/>
      <c r="W135" s="15" t="str">
        <f aca="false">IF((N(Q135)+N(R135)+N(S135)+N(T135)+N(U135)+N(V135))=0,"",IF(AND((N(Q135)+N(R135)+N(T135))&gt;=2,(N(Q135)+N(R135)+N(S135)+N(T135)+N(U135)+N(V135))&gt;=4),"高",IF(AND((N(Q135)+N(R135)+N(T135))&gt;=1,(N(Q135)+N(R135)+N(S135)+N(T135)+N(U135)+N(V135))=3),"中","低")))</f>
        <v/>
      </c>
      <c r="X135" s="15" t="str">
        <f aca="false">IF(L135="中位60%",IF(W135="高",3,IF(W135="中",2,IF(W135="低",1,0)))+IF(M135="◎",1,0)+IF(N135="◎",1,0)+IF(O135="○",1,0)+IF(P135="○",1,0),"")</f>
        <v/>
      </c>
      <c r="Y135" s="20"/>
      <c r="Z135" s="18"/>
      <c r="AA135" s="20"/>
      <c r="AB135" s="20"/>
    </row>
    <row r="136" customFormat="false" ht="15" hidden="false" customHeight="false" outlineLevel="0" collapsed="false">
      <c r="A136" s="13" t="s">
        <v>348</v>
      </c>
      <c r="B136" s="14" t="s">
        <v>349</v>
      </c>
      <c r="C136" s="15" t="s">
        <v>61</v>
      </c>
      <c r="D136" s="15" t="n">
        <v>10</v>
      </c>
      <c r="E136" s="14" t="s">
        <v>222</v>
      </c>
      <c r="F136" s="15" t="s">
        <v>63</v>
      </c>
      <c r="G136" s="16" t="s">
        <v>88</v>
      </c>
      <c r="H136" s="17" t="n">
        <v>1</v>
      </c>
      <c r="I136" s="18"/>
      <c r="J136" s="15" t="n">
        <f aca="false">IF(AND(H136=1,N(I136)&gt;0),1,0)</f>
        <v>0</v>
      </c>
      <c r="K136" s="15" t="str">
        <f aca="false">IF(J136=1,SUMPRODUCT(($J$5:$J$312=1)*(N($I$5:$I$312)&gt;N(I136)))+1,"")</f>
        <v/>
      </c>
      <c r="L136" s="15" t="str">
        <f aca="false">IF(J136&lt;&gt;1,"",IF(K136&lt;=ROUND(SUM($J$5:$J$312)*0.2,0),"上位20%",IF(K136&lt;=ROUND(SUM($J$5:$J$312)*0.8,0),"中位60%","下位20%")))</f>
        <v/>
      </c>
      <c r="M136" s="15" t="str">
        <f aca="false">IF(F136="あり","◎","")</f>
        <v>◎</v>
      </c>
      <c r="N136" s="15" t="str">
        <f aca="false">IF(OR(LEFT(G136,1)="A",LEFT(G136,1)="B"),"◎","")</f>
        <v/>
      </c>
      <c r="O136" s="19"/>
      <c r="P136" s="19"/>
      <c r="Q136" s="19"/>
      <c r="R136" s="19"/>
      <c r="S136" s="19"/>
      <c r="T136" s="19"/>
      <c r="U136" s="19"/>
      <c r="V136" s="19"/>
      <c r="W136" s="15" t="str">
        <f aca="false">IF((N(Q136)+N(R136)+N(S136)+N(T136)+N(U136)+N(V136))=0,"",IF(AND((N(Q136)+N(R136)+N(T136))&gt;=2,(N(Q136)+N(R136)+N(S136)+N(T136)+N(U136)+N(V136))&gt;=4),"高",IF(AND((N(Q136)+N(R136)+N(T136))&gt;=1,(N(Q136)+N(R136)+N(S136)+N(T136)+N(U136)+N(V136))=3),"中","低")))</f>
        <v/>
      </c>
      <c r="X136" s="15" t="str">
        <f aca="false">IF(L136="中位60%",IF(W136="高",3,IF(W136="中",2,IF(W136="低",1,0)))+IF(M136="◎",1,0)+IF(N136="◎",1,0)+IF(O136="○",1,0)+IF(P136="○",1,0),"")</f>
        <v/>
      </c>
      <c r="Y136" s="20"/>
      <c r="Z136" s="18"/>
      <c r="AA136" s="20"/>
      <c r="AB136" s="20"/>
    </row>
    <row r="137" customFormat="false" ht="15" hidden="false" customHeight="false" outlineLevel="0" collapsed="false">
      <c r="A137" s="13" t="s">
        <v>350</v>
      </c>
      <c r="B137" s="14" t="s">
        <v>351</v>
      </c>
      <c r="C137" s="15" t="s">
        <v>61</v>
      </c>
      <c r="D137" s="15" t="n">
        <v>10</v>
      </c>
      <c r="E137" s="14" t="s">
        <v>91</v>
      </c>
      <c r="F137" s="15" t="s">
        <v>80</v>
      </c>
      <c r="G137" s="16" t="s">
        <v>76</v>
      </c>
      <c r="H137" s="17" t="n">
        <v>1</v>
      </c>
      <c r="I137" s="18"/>
      <c r="J137" s="15" t="n">
        <f aca="false">IF(AND(H137=1,N(I137)&gt;0),1,0)</f>
        <v>0</v>
      </c>
      <c r="K137" s="15" t="str">
        <f aca="false">IF(J137=1,SUMPRODUCT(($J$5:$J$312=1)*(N($I$5:$I$312)&gt;N(I137)))+1,"")</f>
        <v/>
      </c>
      <c r="L137" s="15" t="str">
        <f aca="false">IF(J137&lt;&gt;1,"",IF(K137&lt;=ROUND(SUM($J$5:$J$312)*0.2,0),"上位20%",IF(K137&lt;=ROUND(SUM($J$5:$J$312)*0.8,0),"中位60%","下位20%")))</f>
        <v/>
      </c>
      <c r="M137" s="15" t="str">
        <f aca="false">IF(F137="あり","◎","")</f>
        <v/>
      </c>
      <c r="N137" s="15" t="str">
        <f aca="false">IF(OR(LEFT(G137,1)="A",LEFT(G137,1)="B"),"◎","")</f>
        <v>◎</v>
      </c>
      <c r="O137" s="19"/>
      <c r="P137" s="19"/>
      <c r="Q137" s="19"/>
      <c r="R137" s="19"/>
      <c r="S137" s="19"/>
      <c r="T137" s="19"/>
      <c r="U137" s="19"/>
      <c r="V137" s="19"/>
      <c r="W137" s="15" t="str">
        <f aca="false">IF((N(Q137)+N(R137)+N(S137)+N(T137)+N(U137)+N(V137))=0,"",IF(AND((N(Q137)+N(R137)+N(T137))&gt;=2,(N(Q137)+N(R137)+N(S137)+N(T137)+N(U137)+N(V137))&gt;=4),"高",IF(AND((N(Q137)+N(R137)+N(T137))&gt;=1,(N(Q137)+N(R137)+N(S137)+N(T137)+N(U137)+N(V137))=3),"中","低")))</f>
        <v/>
      </c>
      <c r="X137" s="15" t="str">
        <f aca="false">IF(L137="中位60%",IF(W137="高",3,IF(W137="中",2,IF(W137="低",1,0)))+IF(M137="◎",1,0)+IF(N137="◎",1,0)+IF(O137="○",1,0)+IF(P137="○",1,0),"")</f>
        <v/>
      </c>
      <c r="Y137" s="20"/>
      <c r="Z137" s="18"/>
      <c r="AA137" s="20"/>
      <c r="AB137" s="20"/>
    </row>
    <row r="138" customFormat="false" ht="15" hidden="false" customHeight="false" outlineLevel="0" collapsed="false">
      <c r="A138" s="13" t="s">
        <v>352</v>
      </c>
      <c r="B138" s="14" t="s">
        <v>353</v>
      </c>
      <c r="C138" s="15" t="s">
        <v>61</v>
      </c>
      <c r="D138" s="15" t="n">
        <v>10</v>
      </c>
      <c r="E138" s="14" t="s">
        <v>79</v>
      </c>
      <c r="F138" s="15" t="s">
        <v>63</v>
      </c>
      <c r="G138" s="16" t="s">
        <v>64</v>
      </c>
      <c r="H138" s="17" t="n">
        <v>1</v>
      </c>
      <c r="I138" s="18"/>
      <c r="J138" s="15" t="n">
        <f aca="false">IF(AND(H138=1,N(I138)&gt;0),1,0)</f>
        <v>0</v>
      </c>
      <c r="K138" s="15" t="str">
        <f aca="false">IF(J138=1,SUMPRODUCT(($J$5:$J$312=1)*(N($I$5:$I$312)&gt;N(I138)))+1,"")</f>
        <v/>
      </c>
      <c r="L138" s="15" t="str">
        <f aca="false">IF(J138&lt;&gt;1,"",IF(K138&lt;=ROUND(SUM($J$5:$J$312)*0.2,0),"上位20%",IF(K138&lt;=ROUND(SUM($J$5:$J$312)*0.8,0),"中位60%","下位20%")))</f>
        <v/>
      </c>
      <c r="M138" s="15" t="str">
        <f aca="false">IF(F138="あり","◎","")</f>
        <v>◎</v>
      </c>
      <c r="N138" s="15" t="str">
        <f aca="false">IF(OR(LEFT(G138,1)="A",LEFT(G138,1)="B"),"◎","")</f>
        <v/>
      </c>
      <c r="O138" s="19"/>
      <c r="P138" s="19"/>
      <c r="Q138" s="19"/>
      <c r="R138" s="19"/>
      <c r="S138" s="19"/>
      <c r="T138" s="19"/>
      <c r="U138" s="19"/>
      <c r="V138" s="19"/>
      <c r="W138" s="15" t="str">
        <f aca="false">IF((N(Q138)+N(R138)+N(S138)+N(T138)+N(U138)+N(V138))=0,"",IF(AND((N(Q138)+N(R138)+N(T138))&gt;=2,(N(Q138)+N(R138)+N(S138)+N(T138)+N(U138)+N(V138))&gt;=4),"高",IF(AND((N(Q138)+N(R138)+N(T138))&gt;=1,(N(Q138)+N(R138)+N(S138)+N(T138)+N(U138)+N(V138))=3),"中","低")))</f>
        <v/>
      </c>
      <c r="X138" s="15" t="str">
        <f aca="false">IF(L138="中位60%",IF(W138="高",3,IF(W138="中",2,IF(W138="低",1,0)))+IF(M138="◎",1,0)+IF(N138="◎",1,0)+IF(O138="○",1,0)+IF(P138="○",1,0),"")</f>
        <v/>
      </c>
      <c r="Y138" s="20"/>
      <c r="Z138" s="18"/>
      <c r="AA138" s="20"/>
      <c r="AB138" s="20"/>
    </row>
    <row r="139" customFormat="false" ht="15" hidden="false" customHeight="false" outlineLevel="0" collapsed="false">
      <c r="A139" s="13" t="s">
        <v>354</v>
      </c>
      <c r="B139" s="14" t="s">
        <v>355</v>
      </c>
      <c r="C139" s="15" t="s">
        <v>61</v>
      </c>
      <c r="D139" s="15" t="n">
        <v>10</v>
      </c>
      <c r="E139" s="14" t="s">
        <v>101</v>
      </c>
      <c r="F139" s="15" t="s">
        <v>80</v>
      </c>
      <c r="G139" s="16" t="s">
        <v>88</v>
      </c>
      <c r="H139" s="17" t="n">
        <v>1</v>
      </c>
      <c r="I139" s="18"/>
      <c r="J139" s="15" t="n">
        <f aca="false">IF(AND(H139=1,N(I139)&gt;0),1,0)</f>
        <v>0</v>
      </c>
      <c r="K139" s="15" t="str">
        <f aca="false">IF(J139=1,SUMPRODUCT(($J$5:$J$312=1)*(N($I$5:$I$312)&gt;N(I139)))+1,"")</f>
        <v/>
      </c>
      <c r="L139" s="15" t="str">
        <f aca="false">IF(J139&lt;&gt;1,"",IF(K139&lt;=ROUND(SUM($J$5:$J$312)*0.2,0),"上位20%",IF(K139&lt;=ROUND(SUM($J$5:$J$312)*0.8,0),"中位60%","下位20%")))</f>
        <v/>
      </c>
      <c r="M139" s="15" t="str">
        <f aca="false">IF(F139="あり","◎","")</f>
        <v/>
      </c>
      <c r="N139" s="15" t="str">
        <f aca="false">IF(OR(LEFT(G139,1)="A",LEFT(G139,1)="B"),"◎","")</f>
        <v/>
      </c>
      <c r="O139" s="19"/>
      <c r="P139" s="19"/>
      <c r="Q139" s="19"/>
      <c r="R139" s="19"/>
      <c r="S139" s="19"/>
      <c r="T139" s="19"/>
      <c r="U139" s="19"/>
      <c r="V139" s="19"/>
      <c r="W139" s="15" t="str">
        <f aca="false">IF((N(Q139)+N(R139)+N(S139)+N(T139)+N(U139)+N(V139))=0,"",IF(AND((N(Q139)+N(R139)+N(T139))&gt;=2,(N(Q139)+N(R139)+N(S139)+N(T139)+N(U139)+N(V139))&gt;=4),"高",IF(AND((N(Q139)+N(R139)+N(T139))&gt;=1,(N(Q139)+N(R139)+N(S139)+N(T139)+N(U139)+N(V139))=3),"中","低")))</f>
        <v/>
      </c>
      <c r="X139" s="15" t="str">
        <f aca="false">IF(L139="中位60%",IF(W139="高",3,IF(W139="中",2,IF(W139="低",1,0)))+IF(M139="◎",1,0)+IF(N139="◎",1,0)+IF(O139="○",1,0)+IF(P139="○",1,0),"")</f>
        <v/>
      </c>
      <c r="Y139" s="20"/>
      <c r="Z139" s="18"/>
      <c r="AA139" s="20"/>
      <c r="AB139" s="20"/>
    </row>
    <row r="140" customFormat="false" ht="15" hidden="false" customHeight="false" outlineLevel="0" collapsed="false">
      <c r="A140" s="13" t="s">
        <v>356</v>
      </c>
      <c r="B140" s="14" t="s">
        <v>357</v>
      </c>
      <c r="C140" s="15" t="s">
        <v>61</v>
      </c>
      <c r="D140" s="15" t="n">
        <v>10</v>
      </c>
      <c r="E140" s="14" t="s">
        <v>79</v>
      </c>
      <c r="F140" s="15" t="s">
        <v>63</v>
      </c>
      <c r="G140" s="14"/>
      <c r="H140" s="17" t="n">
        <v>1</v>
      </c>
      <c r="I140" s="18"/>
      <c r="J140" s="15" t="n">
        <f aca="false">IF(AND(H140=1,N(I140)&gt;0),1,0)</f>
        <v>0</v>
      </c>
      <c r="K140" s="15" t="str">
        <f aca="false">IF(J140=1,SUMPRODUCT(($J$5:$J$312=1)*(N($I$5:$I$312)&gt;N(I140)))+1,"")</f>
        <v/>
      </c>
      <c r="L140" s="15" t="str">
        <f aca="false">IF(J140&lt;&gt;1,"",IF(K140&lt;=ROUND(SUM($J$5:$J$312)*0.2,0),"上位20%",IF(K140&lt;=ROUND(SUM($J$5:$J$312)*0.8,0),"中位60%","下位20%")))</f>
        <v/>
      </c>
      <c r="M140" s="15" t="str">
        <f aca="false">IF(F140="あり","◎","")</f>
        <v>◎</v>
      </c>
      <c r="N140" s="15" t="str">
        <f aca="false">IF(OR(LEFT(G140,1)="A",LEFT(G140,1)="B"),"◎","")</f>
        <v/>
      </c>
      <c r="O140" s="19"/>
      <c r="P140" s="19"/>
      <c r="Q140" s="19"/>
      <c r="R140" s="19"/>
      <c r="S140" s="19"/>
      <c r="T140" s="19"/>
      <c r="U140" s="19"/>
      <c r="V140" s="19"/>
      <c r="W140" s="15" t="str">
        <f aca="false">IF((N(Q140)+N(R140)+N(S140)+N(T140)+N(U140)+N(V140))=0,"",IF(AND((N(Q140)+N(R140)+N(T140))&gt;=2,(N(Q140)+N(R140)+N(S140)+N(T140)+N(U140)+N(V140))&gt;=4),"高",IF(AND((N(Q140)+N(R140)+N(T140))&gt;=1,(N(Q140)+N(R140)+N(S140)+N(T140)+N(U140)+N(V140))=3),"中","低")))</f>
        <v/>
      </c>
      <c r="X140" s="15" t="str">
        <f aca="false">IF(L140="中位60%",IF(W140="高",3,IF(W140="中",2,IF(W140="低",1,0)))+IF(M140="◎",1,0)+IF(N140="◎",1,0)+IF(O140="○",1,0)+IF(P140="○",1,0),"")</f>
        <v/>
      </c>
      <c r="Y140" s="20"/>
      <c r="Z140" s="18"/>
      <c r="AA140" s="20"/>
      <c r="AB140" s="20"/>
    </row>
    <row r="141" customFormat="false" ht="15" hidden="false" customHeight="false" outlineLevel="0" collapsed="false">
      <c r="A141" s="13" t="s">
        <v>358</v>
      </c>
      <c r="B141" s="14" t="s">
        <v>359</v>
      </c>
      <c r="C141" s="15" t="s">
        <v>61</v>
      </c>
      <c r="D141" s="15" t="n">
        <v>10</v>
      </c>
      <c r="E141" s="14" t="s">
        <v>117</v>
      </c>
      <c r="F141" s="15" t="s">
        <v>63</v>
      </c>
      <c r="G141" s="16" t="s">
        <v>88</v>
      </c>
      <c r="H141" s="17" t="n">
        <v>1</v>
      </c>
      <c r="I141" s="18"/>
      <c r="J141" s="15" t="n">
        <f aca="false">IF(AND(H141=1,N(I141)&gt;0),1,0)</f>
        <v>0</v>
      </c>
      <c r="K141" s="15" t="str">
        <f aca="false">IF(J141=1,SUMPRODUCT(($J$5:$J$312=1)*(N($I$5:$I$312)&gt;N(I141)))+1,"")</f>
        <v/>
      </c>
      <c r="L141" s="15" t="str">
        <f aca="false">IF(J141&lt;&gt;1,"",IF(K141&lt;=ROUND(SUM($J$5:$J$312)*0.2,0),"上位20%",IF(K141&lt;=ROUND(SUM($J$5:$J$312)*0.8,0),"中位60%","下位20%")))</f>
        <v/>
      </c>
      <c r="M141" s="15" t="str">
        <f aca="false">IF(F141="あり","◎","")</f>
        <v>◎</v>
      </c>
      <c r="N141" s="15" t="str">
        <f aca="false">IF(OR(LEFT(G141,1)="A",LEFT(G141,1)="B"),"◎","")</f>
        <v/>
      </c>
      <c r="O141" s="19"/>
      <c r="P141" s="19"/>
      <c r="Q141" s="19"/>
      <c r="R141" s="19"/>
      <c r="S141" s="19"/>
      <c r="T141" s="19"/>
      <c r="U141" s="19"/>
      <c r="V141" s="19"/>
      <c r="W141" s="15" t="str">
        <f aca="false">IF((N(Q141)+N(R141)+N(S141)+N(T141)+N(U141)+N(V141))=0,"",IF(AND((N(Q141)+N(R141)+N(T141))&gt;=2,(N(Q141)+N(R141)+N(S141)+N(T141)+N(U141)+N(V141))&gt;=4),"高",IF(AND((N(Q141)+N(R141)+N(T141))&gt;=1,(N(Q141)+N(R141)+N(S141)+N(T141)+N(U141)+N(V141))=3),"中","低")))</f>
        <v/>
      </c>
      <c r="X141" s="15" t="str">
        <f aca="false">IF(L141="中位60%",IF(W141="高",3,IF(W141="中",2,IF(W141="低",1,0)))+IF(M141="◎",1,0)+IF(N141="◎",1,0)+IF(O141="○",1,0)+IF(P141="○",1,0),"")</f>
        <v/>
      </c>
      <c r="Y141" s="20"/>
      <c r="Z141" s="18"/>
      <c r="AA141" s="20"/>
      <c r="AB141" s="20"/>
    </row>
    <row r="142" customFormat="false" ht="15" hidden="false" customHeight="false" outlineLevel="0" collapsed="false">
      <c r="A142" s="13" t="s">
        <v>360</v>
      </c>
      <c r="B142" s="14" t="s">
        <v>361</v>
      </c>
      <c r="C142" s="15" t="s">
        <v>61</v>
      </c>
      <c r="D142" s="15" t="n">
        <v>4</v>
      </c>
      <c r="E142" s="14" t="s">
        <v>83</v>
      </c>
      <c r="F142" s="15" t="s">
        <v>63</v>
      </c>
      <c r="G142" s="16" t="s">
        <v>110</v>
      </c>
      <c r="H142" s="17" t="n">
        <v>1</v>
      </c>
      <c r="I142" s="18"/>
      <c r="J142" s="15" t="n">
        <f aca="false">IF(AND(H142=1,N(I142)&gt;0),1,0)</f>
        <v>0</v>
      </c>
      <c r="K142" s="15" t="str">
        <f aca="false">IF(J142=1,SUMPRODUCT(($J$5:$J$312=1)*(N($I$5:$I$312)&gt;N(I142)))+1,"")</f>
        <v/>
      </c>
      <c r="L142" s="15" t="str">
        <f aca="false">IF(J142&lt;&gt;1,"",IF(K142&lt;=ROUND(SUM($J$5:$J$312)*0.2,0),"上位20%",IF(K142&lt;=ROUND(SUM($J$5:$J$312)*0.8,0),"中位60%","下位20%")))</f>
        <v/>
      </c>
      <c r="M142" s="15" t="str">
        <f aca="false">IF(F142="あり","◎","")</f>
        <v>◎</v>
      </c>
      <c r="N142" s="15" t="str">
        <f aca="false">IF(OR(LEFT(G142,1)="A",LEFT(G142,1)="B"),"◎","")</f>
        <v>◎</v>
      </c>
      <c r="O142" s="19"/>
      <c r="P142" s="19"/>
      <c r="Q142" s="19"/>
      <c r="R142" s="19"/>
      <c r="S142" s="19"/>
      <c r="T142" s="19"/>
      <c r="U142" s="19"/>
      <c r="V142" s="19"/>
      <c r="W142" s="15" t="str">
        <f aca="false">IF((N(Q142)+N(R142)+N(S142)+N(T142)+N(U142)+N(V142))=0,"",IF(AND((N(Q142)+N(R142)+N(T142))&gt;=2,(N(Q142)+N(R142)+N(S142)+N(T142)+N(U142)+N(V142))&gt;=4),"高",IF(AND((N(Q142)+N(R142)+N(T142))&gt;=1,(N(Q142)+N(R142)+N(S142)+N(T142)+N(U142)+N(V142))=3),"中","低")))</f>
        <v/>
      </c>
      <c r="X142" s="15" t="str">
        <f aca="false">IF(L142="中位60%",IF(W142="高",3,IF(W142="中",2,IF(W142="低",1,0)))+IF(M142="◎",1,0)+IF(N142="◎",1,0)+IF(O142="○",1,0)+IF(P142="○",1,0),"")</f>
        <v/>
      </c>
      <c r="Y142" s="20"/>
      <c r="Z142" s="18"/>
      <c r="AA142" s="20"/>
      <c r="AB142" s="20"/>
    </row>
    <row r="143" customFormat="false" ht="15" hidden="false" customHeight="false" outlineLevel="0" collapsed="false">
      <c r="A143" s="13" t="s">
        <v>362</v>
      </c>
      <c r="B143" s="14" t="s">
        <v>363</v>
      </c>
      <c r="C143" s="15" t="s">
        <v>61</v>
      </c>
      <c r="D143" s="15" t="n">
        <v>11</v>
      </c>
      <c r="E143" s="14" t="s">
        <v>75</v>
      </c>
      <c r="F143" s="15" t="s">
        <v>63</v>
      </c>
      <c r="G143" s="16" t="s">
        <v>64</v>
      </c>
      <c r="H143" s="17" t="n">
        <v>1</v>
      </c>
      <c r="I143" s="18"/>
      <c r="J143" s="15" t="n">
        <f aca="false">IF(AND(H143=1,N(I143)&gt;0),1,0)</f>
        <v>0</v>
      </c>
      <c r="K143" s="15" t="str">
        <f aca="false">IF(J143=1,SUMPRODUCT(($J$5:$J$312=1)*(N($I$5:$I$312)&gt;N(I143)))+1,"")</f>
        <v/>
      </c>
      <c r="L143" s="15" t="str">
        <f aca="false">IF(J143&lt;&gt;1,"",IF(K143&lt;=ROUND(SUM($J$5:$J$312)*0.2,0),"上位20%",IF(K143&lt;=ROUND(SUM($J$5:$J$312)*0.8,0),"中位60%","下位20%")))</f>
        <v/>
      </c>
      <c r="M143" s="15" t="str">
        <f aca="false">IF(F143="あり","◎","")</f>
        <v>◎</v>
      </c>
      <c r="N143" s="15" t="str">
        <f aca="false">IF(OR(LEFT(G143,1)="A",LEFT(G143,1)="B"),"◎","")</f>
        <v/>
      </c>
      <c r="O143" s="19"/>
      <c r="P143" s="19"/>
      <c r="Q143" s="19"/>
      <c r="R143" s="19"/>
      <c r="S143" s="19"/>
      <c r="T143" s="19"/>
      <c r="U143" s="19"/>
      <c r="V143" s="19"/>
      <c r="W143" s="15" t="str">
        <f aca="false">IF((N(Q143)+N(R143)+N(S143)+N(T143)+N(U143)+N(V143))=0,"",IF(AND((N(Q143)+N(R143)+N(T143))&gt;=2,(N(Q143)+N(R143)+N(S143)+N(T143)+N(U143)+N(V143))&gt;=4),"高",IF(AND((N(Q143)+N(R143)+N(T143))&gt;=1,(N(Q143)+N(R143)+N(S143)+N(T143)+N(U143)+N(V143))=3),"中","低")))</f>
        <v/>
      </c>
      <c r="X143" s="15" t="str">
        <f aca="false">IF(L143="中位60%",IF(W143="高",3,IF(W143="中",2,IF(W143="低",1,0)))+IF(M143="◎",1,0)+IF(N143="◎",1,0)+IF(O143="○",1,0)+IF(P143="○",1,0),"")</f>
        <v/>
      </c>
      <c r="Y143" s="20"/>
      <c r="Z143" s="18"/>
      <c r="AA143" s="20"/>
      <c r="AB143" s="20"/>
    </row>
    <row r="144" customFormat="false" ht="15" hidden="false" customHeight="false" outlineLevel="0" collapsed="false">
      <c r="A144" s="13" t="s">
        <v>364</v>
      </c>
      <c r="B144" s="14" t="s">
        <v>365</v>
      </c>
      <c r="C144" s="15" t="s">
        <v>61</v>
      </c>
      <c r="D144" s="15" t="n">
        <v>11</v>
      </c>
      <c r="E144" s="14"/>
      <c r="F144" s="15" t="s">
        <v>63</v>
      </c>
      <c r="G144" s="16" t="s">
        <v>88</v>
      </c>
      <c r="H144" s="17" t="n">
        <v>1</v>
      </c>
      <c r="I144" s="18"/>
      <c r="J144" s="15" t="n">
        <f aca="false">IF(AND(H144=1,N(I144)&gt;0),1,0)</f>
        <v>0</v>
      </c>
      <c r="K144" s="15" t="str">
        <f aca="false">IF(J144=1,SUMPRODUCT(($J$5:$J$312=1)*(N($I$5:$I$312)&gt;N(I144)))+1,"")</f>
        <v/>
      </c>
      <c r="L144" s="15" t="str">
        <f aca="false">IF(J144&lt;&gt;1,"",IF(K144&lt;=ROUND(SUM($J$5:$J$312)*0.2,0),"上位20%",IF(K144&lt;=ROUND(SUM($J$5:$J$312)*0.8,0),"中位60%","下位20%")))</f>
        <v/>
      </c>
      <c r="M144" s="15" t="str">
        <f aca="false">IF(F144="あり","◎","")</f>
        <v>◎</v>
      </c>
      <c r="N144" s="15" t="str">
        <f aca="false">IF(OR(LEFT(G144,1)="A",LEFT(G144,1)="B"),"◎","")</f>
        <v/>
      </c>
      <c r="O144" s="19"/>
      <c r="P144" s="19"/>
      <c r="Q144" s="19"/>
      <c r="R144" s="19"/>
      <c r="S144" s="19"/>
      <c r="T144" s="19"/>
      <c r="U144" s="19"/>
      <c r="V144" s="19"/>
      <c r="W144" s="15" t="str">
        <f aca="false">IF((N(Q144)+N(R144)+N(S144)+N(T144)+N(U144)+N(V144))=0,"",IF(AND((N(Q144)+N(R144)+N(T144))&gt;=2,(N(Q144)+N(R144)+N(S144)+N(T144)+N(U144)+N(V144))&gt;=4),"高",IF(AND((N(Q144)+N(R144)+N(T144))&gt;=1,(N(Q144)+N(R144)+N(S144)+N(T144)+N(U144)+N(V144))=3),"中","低")))</f>
        <v/>
      </c>
      <c r="X144" s="15" t="str">
        <f aca="false">IF(L144="中位60%",IF(W144="高",3,IF(W144="中",2,IF(W144="低",1,0)))+IF(M144="◎",1,0)+IF(N144="◎",1,0)+IF(O144="○",1,0)+IF(P144="○",1,0),"")</f>
        <v/>
      </c>
      <c r="Y144" s="20"/>
      <c r="Z144" s="18"/>
      <c r="AA144" s="20"/>
      <c r="AB144" s="20"/>
    </row>
    <row r="145" customFormat="false" ht="15" hidden="false" customHeight="false" outlineLevel="0" collapsed="false">
      <c r="A145" s="13" t="s">
        <v>366</v>
      </c>
      <c r="B145" s="14" t="s">
        <v>367</v>
      </c>
      <c r="C145" s="15" t="s">
        <v>61</v>
      </c>
      <c r="D145" s="15" t="n">
        <v>5</v>
      </c>
      <c r="E145" s="14" t="s">
        <v>62</v>
      </c>
      <c r="F145" s="15" t="s">
        <v>80</v>
      </c>
      <c r="G145" s="16" t="s">
        <v>64</v>
      </c>
      <c r="H145" s="17" t="n">
        <v>1</v>
      </c>
      <c r="I145" s="18"/>
      <c r="J145" s="15" t="n">
        <f aca="false">IF(AND(H145=1,N(I145)&gt;0),1,0)</f>
        <v>0</v>
      </c>
      <c r="K145" s="15" t="str">
        <f aca="false">IF(J145=1,SUMPRODUCT(($J$5:$J$312=1)*(N($I$5:$I$312)&gt;N(I145)))+1,"")</f>
        <v/>
      </c>
      <c r="L145" s="15" t="str">
        <f aca="false">IF(J145&lt;&gt;1,"",IF(K145&lt;=ROUND(SUM($J$5:$J$312)*0.2,0),"上位20%",IF(K145&lt;=ROUND(SUM($J$5:$J$312)*0.8,0),"中位60%","下位20%")))</f>
        <v/>
      </c>
      <c r="M145" s="15" t="str">
        <f aca="false">IF(F145="あり","◎","")</f>
        <v/>
      </c>
      <c r="N145" s="15" t="str">
        <f aca="false">IF(OR(LEFT(G145,1)="A",LEFT(G145,1)="B"),"◎","")</f>
        <v/>
      </c>
      <c r="O145" s="19"/>
      <c r="P145" s="19"/>
      <c r="Q145" s="19"/>
      <c r="R145" s="19"/>
      <c r="S145" s="19"/>
      <c r="T145" s="19"/>
      <c r="U145" s="19"/>
      <c r="V145" s="19"/>
      <c r="W145" s="15" t="str">
        <f aca="false">IF((N(Q145)+N(R145)+N(S145)+N(T145)+N(U145)+N(V145))=0,"",IF(AND((N(Q145)+N(R145)+N(T145))&gt;=2,(N(Q145)+N(R145)+N(S145)+N(T145)+N(U145)+N(V145))&gt;=4),"高",IF(AND((N(Q145)+N(R145)+N(T145))&gt;=1,(N(Q145)+N(R145)+N(S145)+N(T145)+N(U145)+N(V145))=3),"中","低")))</f>
        <v/>
      </c>
      <c r="X145" s="15" t="str">
        <f aca="false">IF(L145="中位60%",IF(W145="高",3,IF(W145="中",2,IF(W145="低",1,0)))+IF(M145="◎",1,0)+IF(N145="◎",1,0)+IF(O145="○",1,0)+IF(P145="○",1,0),"")</f>
        <v/>
      </c>
      <c r="Y145" s="20"/>
      <c r="Z145" s="18"/>
      <c r="AA145" s="20"/>
      <c r="AB145" s="20"/>
    </row>
    <row r="146" customFormat="false" ht="15" hidden="false" customHeight="false" outlineLevel="0" collapsed="false">
      <c r="A146" s="13" t="s">
        <v>368</v>
      </c>
      <c r="B146" s="14" t="s">
        <v>369</v>
      </c>
      <c r="C146" s="15" t="s">
        <v>61</v>
      </c>
      <c r="D146" s="15" t="n">
        <v>5</v>
      </c>
      <c r="E146" s="14" t="s">
        <v>101</v>
      </c>
      <c r="F146" s="15" t="s">
        <v>63</v>
      </c>
      <c r="G146" s="16" t="s">
        <v>88</v>
      </c>
      <c r="H146" s="17" t="n">
        <v>1</v>
      </c>
      <c r="I146" s="18"/>
      <c r="J146" s="15" t="n">
        <f aca="false">IF(AND(H146=1,N(I146)&gt;0),1,0)</f>
        <v>0</v>
      </c>
      <c r="K146" s="15" t="str">
        <f aca="false">IF(J146=1,SUMPRODUCT(($J$5:$J$312=1)*(N($I$5:$I$312)&gt;N(I146)))+1,"")</f>
        <v/>
      </c>
      <c r="L146" s="15" t="str">
        <f aca="false">IF(J146&lt;&gt;1,"",IF(K146&lt;=ROUND(SUM($J$5:$J$312)*0.2,0),"上位20%",IF(K146&lt;=ROUND(SUM($J$5:$J$312)*0.8,0),"中位60%","下位20%")))</f>
        <v/>
      </c>
      <c r="M146" s="15" t="str">
        <f aca="false">IF(F146="あり","◎","")</f>
        <v>◎</v>
      </c>
      <c r="N146" s="15" t="str">
        <f aca="false">IF(OR(LEFT(G146,1)="A",LEFT(G146,1)="B"),"◎","")</f>
        <v/>
      </c>
      <c r="O146" s="19"/>
      <c r="P146" s="19"/>
      <c r="Q146" s="19"/>
      <c r="R146" s="19"/>
      <c r="S146" s="19"/>
      <c r="T146" s="19"/>
      <c r="U146" s="19"/>
      <c r="V146" s="19"/>
      <c r="W146" s="15" t="str">
        <f aca="false">IF((N(Q146)+N(R146)+N(S146)+N(T146)+N(U146)+N(V146))=0,"",IF(AND((N(Q146)+N(R146)+N(T146))&gt;=2,(N(Q146)+N(R146)+N(S146)+N(T146)+N(U146)+N(V146))&gt;=4),"高",IF(AND((N(Q146)+N(R146)+N(T146))&gt;=1,(N(Q146)+N(R146)+N(S146)+N(T146)+N(U146)+N(V146))=3),"中","低")))</f>
        <v/>
      </c>
      <c r="X146" s="15" t="str">
        <f aca="false">IF(L146="中位60%",IF(W146="高",3,IF(W146="中",2,IF(W146="低",1,0)))+IF(M146="◎",1,0)+IF(N146="◎",1,0)+IF(O146="○",1,0)+IF(P146="○",1,0),"")</f>
        <v/>
      </c>
      <c r="Y146" s="20"/>
      <c r="Z146" s="18"/>
      <c r="AA146" s="20"/>
      <c r="AB146" s="20"/>
    </row>
    <row r="147" customFormat="false" ht="15" hidden="false" customHeight="false" outlineLevel="0" collapsed="false">
      <c r="A147" s="13" t="s">
        <v>370</v>
      </c>
      <c r="B147" s="14" t="s">
        <v>371</v>
      </c>
      <c r="C147" s="15" t="s">
        <v>61</v>
      </c>
      <c r="D147" s="15" t="n">
        <v>11</v>
      </c>
      <c r="E147" s="14" t="s">
        <v>79</v>
      </c>
      <c r="F147" s="15" t="s">
        <v>63</v>
      </c>
      <c r="G147" s="14"/>
      <c r="H147" s="17" t="n">
        <v>1</v>
      </c>
      <c r="I147" s="18"/>
      <c r="J147" s="15" t="n">
        <f aca="false">IF(AND(H147=1,N(I147)&gt;0),1,0)</f>
        <v>0</v>
      </c>
      <c r="K147" s="15" t="str">
        <f aca="false">IF(J147=1,SUMPRODUCT(($J$5:$J$312=1)*(N($I$5:$I$312)&gt;N(I147)))+1,"")</f>
        <v/>
      </c>
      <c r="L147" s="15" t="str">
        <f aca="false">IF(J147&lt;&gt;1,"",IF(K147&lt;=ROUND(SUM($J$5:$J$312)*0.2,0),"上位20%",IF(K147&lt;=ROUND(SUM($J$5:$J$312)*0.8,0),"中位60%","下位20%")))</f>
        <v/>
      </c>
      <c r="M147" s="15" t="str">
        <f aca="false">IF(F147="あり","◎","")</f>
        <v>◎</v>
      </c>
      <c r="N147" s="15" t="str">
        <f aca="false">IF(OR(LEFT(G147,1)="A",LEFT(G147,1)="B"),"◎","")</f>
        <v/>
      </c>
      <c r="O147" s="19"/>
      <c r="P147" s="19"/>
      <c r="Q147" s="19"/>
      <c r="R147" s="19"/>
      <c r="S147" s="19"/>
      <c r="T147" s="19"/>
      <c r="U147" s="19"/>
      <c r="V147" s="19"/>
      <c r="W147" s="15" t="str">
        <f aca="false">IF((N(Q147)+N(R147)+N(S147)+N(T147)+N(U147)+N(V147))=0,"",IF(AND((N(Q147)+N(R147)+N(T147))&gt;=2,(N(Q147)+N(R147)+N(S147)+N(T147)+N(U147)+N(V147))&gt;=4),"高",IF(AND((N(Q147)+N(R147)+N(T147))&gt;=1,(N(Q147)+N(R147)+N(S147)+N(T147)+N(U147)+N(V147))=3),"中","低")))</f>
        <v/>
      </c>
      <c r="X147" s="15" t="str">
        <f aca="false">IF(L147="中位60%",IF(W147="高",3,IF(W147="中",2,IF(W147="低",1,0)))+IF(M147="◎",1,0)+IF(N147="◎",1,0)+IF(O147="○",1,0)+IF(P147="○",1,0),"")</f>
        <v/>
      </c>
      <c r="Y147" s="20"/>
      <c r="Z147" s="18"/>
      <c r="AA147" s="20"/>
      <c r="AB147" s="20"/>
    </row>
    <row r="148" customFormat="false" ht="15" hidden="false" customHeight="false" outlineLevel="0" collapsed="false">
      <c r="A148" s="13" t="s">
        <v>372</v>
      </c>
      <c r="B148" s="16" t="s">
        <v>373</v>
      </c>
      <c r="C148" s="15" t="s">
        <v>61</v>
      </c>
      <c r="D148" s="15" t="n">
        <v>12</v>
      </c>
      <c r="E148" s="14" t="s">
        <v>79</v>
      </c>
      <c r="F148" s="15" t="s">
        <v>63</v>
      </c>
      <c r="G148" s="16" t="s">
        <v>64</v>
      </c>
      <c r="H148" s="17" t="n">
        <v>1</v>
      </c>
      <c r="I148" s="18"/>
      <c r="J148" s="15" t="n">
        <f aca="false">IF(AND(H148=1,N(I148)&gt;0),1,0)</f>
        <v>0</v>
      </c>
      <c r="K148" s="15" t="str">
        <f aca="false">IF(J148=1,SUMPRODUCT(($J$5:$J$312=1)*(N($I$5:$I$312)&gt;N(I148)))+1,"")</f>
        <v/>
      </c>
      <c r="L148" s="15" t="str">
        <f aca="false">IF(J148&lt;&gt;1,"",IF(K148&lt;=ROUND(SUM($J$5:$J$312)*0.2,0),"上位20%",IF(K148&lt;=ROUND(SUM($J$5:$J$312)*0.8,0),"中位60%","下位20%")))</f>
        <v/>
      </c>
      <c r="M148" s="15" t="str">
        <f aca="false">IF(F148="あり","◎","")</f>
        <v>◎</v>
      </c>
      <c r="N148" s="15" t="str">
        <f aca="false">IF(OR(LEFT(G148,1)="A",LEFT(G148,1)="B"),"◎","")</f>
        <v/>
      </c>
      <c r="O148" s="19"/>
      <c r="P148" s="19"/>
      <c r="Q148" s="19"/>
      <c r="R148" s="19"/>
      <c r="S148" s="19"/>
      <c r="T148" s="19"/>
      <c r="U148" s="19"/>
      <c r="V148" s="19"/>
      <c r="W148" s="15" t="str">
        <f aca="false">IF((N(Q148)+N(R148)+N(S148)+N(T148)+N(U148)+N(V148))=0,"",IF(AND((N(Q148)+N(R148)+N(T148))&gt;=2,(N(Q148)+N(R148)+N(S148)+N(T148)+N(U148)+N(V148))&gt;=4),"高",IF(AND((N(Q148)+N(R148)+N(T148))&gt;=1,(N(Q148)+N(R148)+N(S148)+N(T148)+N(U148)+N(V148))=3),"中","低")))</f>
        <v/>
      </c>
      <c r="X148" s="15" t="str">
        <f aca="false">IF(L148="中位60%",IF(W148="高",3,IF(W148="中",2,IF(W148="低",1,0)))+IF(M148="◎",1,0)+IF(N148="◎",1,0)+IF(O148="○",1,0)+IF(P148="○",1,0),"")</f>
        <v/>
      </c>
      <c r="Y148" s="20"/>
      <c r="Z148" s="18"/>
      <c r="AA148" s="20"/>
      <c r="AB148" s="20"/>
    </row>
    <row r="149" customFormat="false" ht="15" hidden="false" customHeight="false" outlineLevel="0" collapsed="false">
      <c r="A149" s="13" t="s">
        <v>374</v>
      </c>
      <c r="B149" s="14" t="s">
        <v>375</v>
      </c>
      <c r="C149" s="15" t="s">
        <v>61</v>
      </c>
      <c r="D149" s="15" t="n">
        <v>12</v>
      </c>
      <c r="E149" s="14" t="s">
        <v>101</v>
      </c>
      <c r="F149" s="15" t="s">
        <v>63</v>
      </c>
      <c r="G149" s="16" t="s">
        <v>64</v>
      </c>
      <c r="H149" s="17" t="n">
        <v>1</v>
      </c>
      <c r="I149" s="18"/>
      <c r="J149" s="15" t="n">
        <f aca="false">IF(AND(H149=1,N(I149)&gt;0),1,0)</f>
        <v>0</v>
      </c>
      <c r="K149" s="15" t="str">
        <f aca="false">IF(J149=1,SUMPRODUCT(($J$5:$J$312=1)*(N($I$5:$I$312)&gt;N(I149)))+1,"")</f>
        <v/>
      </c>
      <c r="L149" s="15" t="str">
        <f aca="false">IF(J149&lt;&gt;1,"",IF(K149&lt;=ROUND(SUM($J$5:$J$312)*0.2,0),"上位20%",IF(K149&lt;=ROUND(SUM($J$5:$J$312)*0.8,0),"中位60%","下位20%")))</f>
        <v/>
      </c>
      <c r="M149" s="15" t="str">
        <f aca="false">IF(F149="あり","◎","")</f>
        <v>◎</v>
      </c>
      <c r="N149" s="15" t="str">
        <f aca="false">IF(OR(LEFT(G149,1)="A",LEFT(G149,1)="B"),"◎","")</f>
        <v/>
      </c>
      <c r="O149" s="19"/>
      <c r="P149" s="19"/>
      <c r="Q149" s="19"/>
      <c r="R149" s="19"/>
      <c r="S149" s="19"/>
      <c r="T149" s="19"/>
      <c r="U149" s="19"/>
      <c r="V149" s="19"/>
      <c r="W149" s="15" t="str">
        <f aca="false">IF((N(Q149)+N(R149)+N(S149)+N(T149)+N(U149)+N(V149))=0,"",IF(AND((N(Q149)+N(R149)+N(T149))&gt;=2,(N(Q149)+N(R149)+N(S149)+N(T149)+N(U149)+N(V149))&gt;=4),"高",IF(AND((N(Q149)+N(R149)+N(T149))&gt;=1,(N(Q149)+N(R149)+N(S149)+N(T149)+N(U149)+N(V149))=3),"中","低")))</f>
        <v/>
      </c>
      <c r="X149" s="15" t="str">
        <f aca="false">IF(L149="中位60%",IF(W149="高",3,IF(W149="中",2,IF(W149="低",1,0)))+IF(M149="◎",1,0)+IF(N149="◎",1,0)+IF(O149="○",1,0)+IF(P149="○",1,0),"")</f>
        <v/>
      </c>
      <c r="Y149" s="20"/>
      <c r="Z149" s="18"/>
      <c r="AA149" s="20"/>
      <c r="AB149" s="20"/>
    </row>
    <row r="150" customFormat="false" ht="15" hidden="false" customHeight="false" outlineLevel="0" collapsed="false">
      <c r="A150" s="13" t="s">
        <v>376</v>
      </c>
      <c r="B150" s="14" t="s">
        <v>377</v>
      </c>
      <c r="C150" s="15" t="s">
        <v>61</v>
      </c>
      <c r="D150" s="15" t="n">
        <v>12</v>
      </c>
      <c r="E150" s="14" t="s">
        <v>62</v>
      </c>
      <c r="F150" s="15" t="s">
        <v>80</v>
      </c>
      <c r="G150" s="16" t="s">
        <v>76</v>
      </c>
      <c r="H150" s="17" t="n">
        <v>1</v>
      </c>
      <c r="I150" s="18"/>
      <c r="J150" s="15" t="n">
        <f aca="false">IF(AND(H150=1,N(I150)&gt;0),1,0)</f>
        <v>0</v>
      </c>
      <c r="K150" s="15" t="str">
        <f aca="false">IF(J150=1,SUMPRODUCT(($J$5:$J$312=1)*(N($I$5:$I$312)&gt;N(I150)))+1,"")</f>
        <v/>
      </c>
      <c r="L150" s="15" t="str">
        <f aca="false">IF(J150&lt;&gt;1,"",IF(K150&lt;=ROUND(SUM($J$5:$J$312)*0.2,0),"上位20%",IF(K150&lt;=ROUND(SUM($J$5:$J$312)*0.8,0),"中位60%","下位20%")))</f>
        <v/>
      </c>
      <c r="M150" s="15" t="str">
        <f aca="false">IF(F150="あり","◎","")</f>
        <v/>
      </c>
      <c r="N150" s="15" t="str">
        <f aca="false">IF(OR(LEFT(G150,1)="A",LEFT(G150,1)="B"),"◎","")</f>
        <v>◎</v>
      </c>
      <c r="O150" s="19"/>
      <c r="P150" s="19"/>
      <c r="Q150" s="19"/>
      <c r="R150" s="19"/>
      <c r="S150" s="19"/>
      <c r="T150" s="19"/>
      <c r="U150" s="19"/>
      <c r="V150" s="19"/>
      <c r="W150" s="15" t="str">
        <f aca="false">IF((N(Q150)+N(R150)+N(S150)+N(T150)+N(U150)+N(V150))=0,"",IF(AND((N(Q150)+N(R150)+N(T150))&gt;=2,(N(Q150)+N(R150)+N(S150)+N(T150)+N(U150)+N(V150))&gt;=4),"高",IF(AND((N(Q150)+N(R150)+N(T150))&gt;=1,(N(Q150)+N(R150)+N(S150)+N(T150)+N(U150)+N(V150))=3),"中","低")))</f>
        <v/>
      </c>
      <c r="X150" s="15" t="str">
        <f aca="false">IF(L150="中位60%",IF(W150="高",3,IF(W150="中",2,IF(W150="低",1,0)))+IF(M150="◎",1,0)+IF(N150="◎",1,0)+IF(O150="○",1,0)+IF(P150="○",1,0),"")</f>
        <v/>
      </c>
      <c r="Y150" s="20"/>
      <c r="Z150" s="18"/>
      <c r="AA150" s="20"/>
      <c r="AB150" s="20"/>
    </row>
    <row r="151" customFormat="false" ht="15" hidden="false" customHeight="false" outlineLevel="0" collapsed="false">
      <c r="A151" s="13" t="s">
        <v>378</v>
      </c>
      <c r="B151" s="14" t="s">
        <v>379</v>
      </c>
      <c r="C151" s="15" t="s">
        <v>61</v>
      </c>
      <c r="D151" s="15" t="n">
        <v>12</v>
      </c>
      <c r="E151" s="14" t="s">
        <v>91</v>
      </c>
      <c r="F151" s="15" t="s">
        <v>63</v>
      </c>
      <c r="G151" s="16" t="s">
        <v>88</v>
      </c>
      <c r="H151" s="17" t="n">
        <v>1</v>
      </c>
      <c r="I151" s="18"/>
      <c r="J151" s="15" t="n">
        <f aca="false">IF(AND(H151=1,N(I151)&gt;0),1,0)</f>
        <v>0</v>
      </c>
      <c r="K151" s="15" t="str">
        <f aca="false">IF(J151=1,SUMPRODUCT(($J$5:$J$312=1)*(N($I$5:$I$312)&gt;N(I151)))+1,"")</f>
        <v/>
      </c>
      <c r="L151" s="15" t="str">
        <f aca="false">IF(J151&lt;&gt;1,"",IF(K151&lt;=ROUND(SUM($J$5:$J$312)*0.2,0),"上位20%",IF(K151&lt;=ROUND(SUM($J$5:$J$312)*0.8,0),"中位60%","下位20%")))</f>
        <v/>
      </c>
      <c r="M151" s="15" t="str">
        <f aca="false">IF(F151="あり","◎","")</f>
        <v>◎</v>
      </c>
      <c r="N151" s="15" t="str">
        <f aca="false">IF(OR(LEFT(G151,1)="A",LEFT(G151,1)="B"),"◎","")</f>
        <v/>
      </c>
      <c r="O151" s="19"/>
      <c r="P151" s="19"/>
      <c r="Q151" s="19"/>
      <c r="R151" s="19"/>
      <c r="S151" s="19"/>
      <c r="T151" s="19"/>
      <c r="U151" s="19"/>
      <c r="V151" s="19"/>
      <c r="W151" s="15" t="str">
        <f aca="false">IF((N(Q151)+N(R151)+N(S151)+N(T151)+N(U151)+N(V151))=0,"",IF(AND((N(Q151)+N(R151)+N(T151))&gt;=2,(N(Q151)+N(R151)+N(S151)+N(T151)+N(U151)+N(V151))&gt;=4),"高",IF(AND((N(Q151)+N(R151)+N(T151))&gt;=1,(N(Q151)+N(R151)+N(S151)+N(T151)+N(U151)+N(V151))=3),"中","低")))</f>
        <v/>
      </c>
      <c r="X151" s="15" t="str">
        <f aca="false">IF(L151="中位60%",IF(W151="高",3,IF(W151="中",2,IF(W151="低",1,0)))+IF(M151="◎",1,0)+IF(N151="◎",1,0)+IF(O151="○",1,0)+IF(P151="○",1,0),"")</f>
        <v/>
      </c>
      <c r="Y151" s="20"/>
      <c r="Z151" s="18"/>
      <c r="AA151" s="20"/>
      <c r="AB151" s="20"/>
    </row>
    <row r="152" customFormat="false" ht="15" hidden="false" customHeight="false" outlineLevel="0" collapsed="false">
      <c r="A152" s="13" t="s">
        <v>380</v>
      </c>
      <c r="B152" s="14" t="s">
        <v>381</v>
      </c>
      <c r="C152" s="15" t="s">
        <v>61</v>
      </c>
      <c r="D152" s="15" t="n">
        <v>12</v>
      </c>
      <c r="E152" s="14" t="s">
        <v>75</v>
      </c>
      <c r="F152" s="15" t="s">
        <v>63</v>
      </c>
      <c r="G152" s="16" t="s">
        <v>88</v>
      </c>
      <c r="H152" s="17" t="n">
        <v>1</v>
      </c>
      <c r="I152" s="18"/>
      <c r="J152" s="15" t="n">
        <f aca="false">IF(AND(H152=1,N(I152)&gt;0),1,0)</f>
        <v>0</v>
      </c>
      <c r="K152" s="15" t="str">
        <f aca="false">IF(J152=1,SUMPRODUCT(($J$5:$J$312=1)*(N($I$5:$I$312)&gt;N(I152)))+1,"")</f>
        <v/>
      </c>
      <c r="L152" s="15" t="str">
        <f aca="false">IF(J152&lt;&gt;1,"",IF(K152&lt;=ROUND(SUM($J$5:$J$312)*0.2,0),"上位20%",IF(K152&lt;=ROUND(SUM($J$5:$J$312)*0.8,0),"中位60%","下位20%")))</f>
        <v/>
      </c>
      <c r="M152" s="15" t="str">
        <f aca="false">IF(F152="あり","◎","")</f>
        <v>◎</v>
      </c>
      <c r="N152" s="15" t="str">
        <f aca="false">IF(OR(LEFT(G152,1)="A",LEFT(G152,1)="B"),"◎","")</f>
        <v/>
      </c>
      <c r="O152" s="19"/>
      <c r="P152" s="19"/>
      <c r="Q152" s="19"/>
      <c r="R152" s="19"/>
      <c r="S152" s="19"/>
      <c r="T152" s="19"/>
      <c r="U152" s="19"/>
      <c r="V152" s="19"/>
      <c r="W152" s="15" t="str">
        <f aca="false">IF((N(Q152)+N(R152)+N(S152)+N(T152)+N(U152)+N(V152))=0,"",IF(AND((N(Q152)+N(R152)+N(T152))&gt;=2,(N(Q152)+N(R152)+N(S152)+N(T152)+N(U152)+N(V152))&gt;=4),"高",IF(AND((N(Q152)+N(R152)+N(T152))&gt;=1,(N(Q152)+N(R152)+N(S152)+N(T152)+N(U152)+N(V152))=3),"中","低")))</f>
        <v/>
      </c>
      <c r="X152" s="15" t="str">
        <f aca="false">IF(L152="中位60%",IF(W152="高",3,IF(W152="中",2,IF(W152="低",1,0)))+IF(M152="◎",1,0)+IF(N152="◎",1,0)+IF(O152="○",1,0)+IF(P152="○",1,0),"")</f>
        <v/>
      </c>
      <c r="Y152" s="20"/>
      <c r="Z152" s="18"/>
      <c r="AA152" s="20"/>
      <c r="AB152" s="20"/>
    </row>
    <row r="153" customFormat="false" ht="15" hidden="false" customHeight="false" outlineLevel="0" collapsed="false">
      <c r="A153" s="13" t="s">
        <v>382</v>
      </c>
      <c r="B153" s="14" t="s">
        <v>383</v>
      </c>
      <c r="C153" s="15" t="s">
        <v>61</v>
      </c>
      <c r="D153" s="15" t="n">
        <v>12</v>
      </c>
      <c r="E153" s="14" t="s">
        <v>75</v>
      </c>
      <c r="F153" s="15" t="s">
        <v>80</v>
      </c>
      <c r="G153" s="16" t="s">
        <v>110</v>
      </c>
      <c r="H153" s="17" t="n">
        <v>1</v>
      </c>
      <c r="I153" s="18"/>
      <c r="J153" s="15" t="n">
        <f aca="false">IF(AND(H153=1,N(I153)&gt;0),1,0)</f>
        <v>0</v>
      </c>
      <c r="K153" s="15" t="str">
        <f aca="false">IF(J153=1,SUMPRODUCT(($J$5:$J$312=1)*(N($I$5:$I$312)&gt;N(I153)))+1,"")</f>
        <v/>
      </c>
      <c r="L153" s="15" t="str">
        <f aca="false">IF(J153&lt;&gt;1,"",IF(K153&lt;=ROUND(SUM($J$5:$J$312)*0.2,0),"上位20%",IF(K153&lt;=ROUND(SUM($J$5:$J$312)*0.8,0),"中位60%","下位20%")))</f>
        <v/>
      </c>
      <c r="M153" s="15" t="str">
        <f aca="false">IF(F153="あり","◎","")</f>
        <v/>
      </c>
      <c r="N153" s="15" t="str">
        <f aca="false">IF(OR(LEFT(G153,1)="A",LEFT(G153,1)="B"),"◎","")</f>
        <v>◎</v>
      </c>
      <c r="O153" s="19"/>
      <c r="P153" s="19"/>
      <c r="Q153" s="19"/>
      <c r="R153" s="19"/>
      <c r="S153" s="19"/>
      <c r="T153" s="19"/>
      <c r="U153" s="19"/>
      <c r="V153" s="19"/>
      <c r="W153" s="15" t="str">
        <f aca="false">IF((N(Q153)+N(R153)+N(S153)+N(T153)+N(U153)+N(V153))=0,"",IF(AND((N(Q153)+N(R153)+N(T153))&gt;=2,(N(Q153)+N(R153)+N(S153)+N(T153)+N(U153)+N(V153))&gt;=4),"高",IF(AND((N(Q153)+N(R153)+N(T153))&gt;=1,(N(Q153)+N(R153)+N(S153)+N(T153)+N(U153)+N(V153))=3),"中","低")))</f>
        <v/>
      </c>
      <c r="X153" s="15" t="str">
        <f aca="false">IF(L153="中位60%",IF(W153="高",3,IF(W153="中",2,IF(W153="低",1,0)))+IF(M153="◎",1,0)+IF(N153="◎",1,0)+IF(O153="○",1,0)+IF(P153="○",1,0),"")</f>
        <v/>
      </c>
      <c r="Y153" s="20"/>
      <c r="Z153" s="18"/>
      <c r="AA153" s="20"/>
      <c r="AB153" s="20"/>
    </row>
    <row r="154" customFormat="false" ht="15" hidden="false" customHeight="false" outlineLevel="0" collapsed="false">
      <c r="A154" s="13" t="s">
        <v>384</v>
      </c>
      <c r="B154" s="14" t="s">
        <v>385</v>
      </c>
      <c r="C154" s="15" t="s">
        <v>61</v>
      </c>
      <c r="D154" s="15" t="n">
        <v>12</v>
      </c>
      <c r="E154" s="14" t="s">
        <v>75</v>
      </c>
      <c r="F154" s="15" t="s">
        <v>80</v>
      </c>
      <c r="G154" s="16" t="s">
        <v>76</v>
      </c>
      <c r="H154" s="17" t="n">
        <v>1</v>
      </c>
      <c r="I154" s="18"/>
      <c r="J154" s="15" t="n">
        <f aca="false">IF(AND(H154=1,N(I154)&gt;0),1,0)</f>
        <v>0</v>
      </c>
      <c r="K154" s="15" t="str">
        <f aca="false">IF(J154=1,SUMPRODUCT(($J$5:$J$312=1)*(N($I$5:$I$312)&gt;N(I154)))+1,"")</f>
        <v/>
      </c>
      <c r="L154" s="15" t="str">
        <f aca="false">IF(J154&lt;&gt;1,"",IF(K154&lt;=ROUND(SUM($J$5:$J$312)*0.2,0),"上位20%",IF(K154&lt;=ROUND(SUM($J$5:$J$312)*0.8,0),"中位60%","下位20%")))</f>
        <v/>
      </c>
      <c r="M154" s="15" t="str">
        <f aca="false">IF(F154="あり","◎","")</f>
        <v/>
      </c>
      <c r="N154" s="15" t="str">
        <f aca="false">IF(OR(LEFT(G154,1)="A",LEFT(G154,1)="B"),"◎","")</f>
        <v>◎</v>
      </c>
      <c r="O154" s="19"/>
      <c r="P154" s="19"/>
      <c r="Q154" s="19"/>
      <c r="R154" s="19"/>
      <c r="S154" s="19"/>
      <c r="T154" s="19"/>
      <c r="U154" s="19"/>
      <c r="V154" s="19"/>
      <c r="W154" s="15" t="str">
        <f aca="false">IF((N(Q154)+N(R154)+N(S154)+N(T154)+N(U154)+N(V154))=0,"",IF(AND((N(Q154)+N(R154)+N(T154))&gt;=2,(N(Q154)+N(R154)+N(S154)+N(T154)+N(U154)+N(V154))&gt;=4),"高",IF(AND((N(Q154)+N(R154)+N(T154))&gt;=1,(N(Q154)+N(R154)+N(S154)+N(T154)+N(U154)+N(V154))=3),"中","低")))</f>
        <v/>
      </c>
      <c r="X154" s="15" t="str">
        <f aca="false">IF(L154="中位60%",IF(W154="高",3,IF(W154="中",2,IF(W154="低",1,0)))+IF(M154="◎",1,0)+IF(N154="◎",1,0)+IF(O154="○",1,0)+IF(P154="○",1,0),"")</f>
        <v/>
      </c>
      <c r="Y154" s="20"/>
      <c r="Z154" s="18"/>
      <c r="AA154" s="20"/>
      <c r="AB154" s="20"/>
    </row>
    <row r="155" customFormat="false" ht="15" hidden="false" customHeight="false" outlineLevel="0" collapsed="false">
      <c r="A155" s="13" t="s">
        <v>386</v>
      </c>
      <c r="B155" s="14" t="s">
        <v>387</v>
      </c>
      <c r="C155" s="15" t="s">
        <v>61</v>
      </c>
      <c r="D155" s="15" t="n">
        <v>12</v>
      </c>
      <c r="E155" s="14" t="s">
        <v>101</v>
      </c>
      <c r="F155" s="15" t="s">
        <v>63</v>
      </c>
      <c r="G155" s="16" t="s">
        <v>64</v>
      </c>
      <c r="H155" s="17" t="n">
        <v>1</v>
      </c>
      <c r="I155" s="18"/>
      <c r="J155" s="15" t="n">
        <f aca="false">IF(AND(H155=1,N(I155)&gt;0),1,0)</f>
        <v>0</v>
      </c>
      <c r="K155" s="15" t="str">
        <f aca="false">IF(J155=1,SUMPRODUCT(($J$5:$J$312=1)*(N($I$5:$I$312)&gt;N(I155)))+1,"")</f>
        <v/>
      </c>
      <c r="L155" s="15" t="str">
        <f aca="false">IF(J155&lt;&gt;1,"",IF(K155&lt;=ROUND(SUM($J$5:$J$312)*0.2,0),"上位20%",IF(K155&lt;=ROUND(SUM($J$5:$J$312)*0.8,0),"中位60%","下位20%")))</f>
        <v/>
      </c>
      <c r="M155" s="15" t="str">
        <f aca="false">IF(F155="あり","◎","")</f>
        <v>◎</v>
      </c>
      <c r="N155" s="15" t="str">
        <f aca="false">IF(OR(LEFT(G155,1)="A",LEFT(G155,1)="B"),"◎","")</f>
        <v/>
      </c>
      <c r="O155" s="19"/>
      <c r="P155" s="19"/>
      <c r="Q155" s="19"/>
      <c r="R155" s="19"/>
      <c r="S155" s="19"/>
      <c r="T155" s="19"/>
      <c r="U155" s="19"/>
      <c r="V155" s="19"/>
      <c r="W155" s="15" t="str">
        <f aca="false">IF((N(Q155)+N(R155)+N(S155)+N(T155)+N(U155)+N(V155))=0,"",IF(AND((N(Q155)+N(R155)+N(T155))&gt;=2,(N(Q155)+N(R155)+N(S155)+N(T155)+N(U155)+N(V155))&gt;=4),"高",IF(AND((N(Q155)+N(R155)+N(T155))&gt;=1,(N(Q155)+N(R155)+N(S155)+N(T155)+N(U155)+N(V155))=3),"中","低")))</f>
        <v/>
      </c>
      <c r="X155" s="15" t="str">
        <f aca="false">IF(L155="中位60%",IF(W155="高",3,IF(W155="中",2,IF(W155="低",1,0)))+IF(M155="◎",1,0)+IF(N155="◎",1,0)+IF(O155="○",1,0)+IF(P155="○",1,0),"")</f>
        <v/>
      </c>
      <c r="Y155" s="20"/>
      <c r="Z155" s="18"/>
      <c r="AA155" s="20"/>
      <c r="AB155" s="20"/>
    </row>
    <row r="156" customFormat="false" ht="15" hidden="false" customHeight="false" outlineLevel="0" collapsed="false">
      <c r="A156" s="13" t="s">
        <v>388</v>
      </c>
      <c r="B156" s="14" t="s">
        <v>389</v>
      </c>
      <c r="C156" s="15" t="s">
        <v>61</v>
      </c>
      <c r="D156" s="15" t="n">
        <v>12</v>
      </c>
      <c r="E156" s="14" t="s">
        <v>91</v>
      </c>
      <c r="F156" s="15" t="s">
        <v>63</v>
      </c>
      <c r="G156" s="16" t="s">
        <v>88</v>
      </c>
      <c r="H156" s="17" t="n">
        <v>1</v>
      </c>
      <c r="I156" s="18"/>
      <c r="J156" s="15" t="n">
        <f aca="false">IF(AND(H156=1,N(I156)&gt;0),1,0)</f>
        <v>0</v>
      </c>
      <c r="K156" s="15" t="str">
        <f aca="false">IF(J156=1,SUMPRODUCT(($J$5:$J$312=1)*(N($I$5:$I$312)&gt;N(I156)))+1,"")</f>
        <v/>
      </c>
      <c r="L156" s="15" t="str">
        <f aca="false">IF(J156&lt;&gt;1,"",IF(K156&lt;=ROUND(SUM($J$5:$J$312)*0.2,0),"上位20%",IF(K156&lt;=ROUND(SUM($J$5:$J$312)*0.8,0),"中位60%","下位20%")))</f>
        <v/>
      </c>
      <c r="M156" s="15" t="str">
        <f aca="false">IF(F156="あり","◎","")</f>
        <v>◎</v>
      </c>
      <c r="N156" s="15" t="str">
        <f aca="false">IF(OR(LEFT(G156,1)="A",LEFT(G156,1)="B"),"◎","")</f>
        <v/>
      </c>
      <c r="O156" s="19"/>
      <c r="P156" s="19"/>
      <c r="Q156" s="19"/>
      <c r="R156" s="19"/>
      <c r="S156" s="19"/>
      <c r="T156" s="19"/>
      <c r="U156" s="19"/>
      <c r="V156" s="19"/>
      <c r="W156" s="15" t="str">
        <f aca="false">IF((N(Q156)+N(R156)+N(S156)+N(T156)+N(U156)+N(V156))=0,"",IF(AND((N(Q156)+N(R156)+N(T156))&gt;=2,(N(Q156)+N(R156)+N(S156)+N(T156)+N(U156)+N(V156))&gt;=4),"高",IF(AND((N(Q156)+N(R156)+N(T156))&gt;=1,(N(Q156)+N(R156)+N(S156)+N(T156)+N(U156)+N(V156))=3),"中","低")))</f>
        <v/>
      </c>
      <c r="X156" s="15" t="str">
        <f aca="false">IF(L156="中位60%",IF(W156="高",3,IF(W156="中",2,IF(W156="低",1,0)))+IF(M156="◎",1,0)+IF(N156="◎",1,0)+IF(O156="○",1,0)+IF(P156="○",1,0),"")</f>
        <v/>
      </c>
      <c r="Y156" s="20"/>
      <c r="Z156" s="18"/>
      <c r="AA156" s="20"/>
      <c r="AB156" s="20"/>
    </row>
    <row r="157" customFormat="false" ht="15" hidden="false" customHeight="false" outlineLevel="0" collapsed="false">
      <c r="A157" s="13" t="s">
        <v>390</v>
      </c>
      <c r="B157" s="14" t="s">
        <v>391</v>
      </c>
      <c r="C157" s="15" t="s">
        <v>61</v>
      </c>
      <c r="D157" s="15" t="n">
        <v>12</v>
      </c>
      <c r="E157" s="14" t="s">
        <v>117</v>
      </c>
      <c r="F157" s="15" t="s">
        <v>80</v>
      </c>
      <c r="G157" s="16" t="s">
        <v>88</v>
      </c>
      <c r="H157" s="17" t="n">
        <v>1</v>
      </c>
      <c r="I157" s="18"/>
      <c r="J157" s="15" t="n">
        <f aca="false">IF(AND(H157=1,N(I157)&gt;0),1,0)</f>
        <v>0</v>
      </c>
      <c r="K157" s="15" t="str">
        <f aca="false">IF(J157=1,SUMPRODUCT(($J$5:$J$312=1)*(N($I$5:$I$312)&gt;N(I157)))+1,"")</f>
        <v/>
      </c>
      <c r="L157" s="15" t="str">
        <f aca="false">IF(J157&lt;&gt;1,"",IF(K157&lt;=ROUND(SUM($J$5:$J$312)*0.2,0),"上位20%",IF(K157&lt;=ROUND(SUM($J$5:$J$312)*0.8,0),"中位60%","下位20%")))</f>
        <v/>
      </c>
      <c r="M157" s="15" t="str">
        <f aca="false">IF(F157="あり","◎","")</f>
        <v/>
      </c>
      <c r="N157" s="15" t="str">
        <f aca="false">IF(OR(LEFT(G157,1)="A",LEFT(G157,1)="B"),"◎","")</f>
        <v/>
      </c>
      <c r="O157" s="19"/>
      <c r="P157" s="19"/>
      <c r="Q157" s="19"/>
      <c r="R157" s="19"/>
      <c r="S157" s="19"/>
      <c r="T157" s="19"/>
      <c r="U157" s="19"/>
      <c r="V157" s="19"/>
      <c r="W157" s="15" t="str">
        <f aca="false">IF((N(Q157)+N(R157)+N(S157)+N(T157)+N(U157)+N(V157))=0,"",IF(AND((N(Q157)+N(R157)+N(T157))&gt;=2,(N(Q157)+N(R157)+N(S157)+N(T157)+N(U157)+N(V157))&gt;=4),"高",IF(AND((N(Q157)+N(R157)+N(T157))&gt;=1,(N(Q157)+N(R157)+N(S157)+N(T157)+N(U157)+N(V157))=3),"中","低")))</f>
        <v/>
      </c>
      <c r="X157" s="15" t="str">
        <f aca="false">IF(L157="中位60%",IF(W157="高",3,IF(W157="中",2,IF(W157="低",1,0)))+IF(M157="◎",1,0)+IF(N157="◎",1,0)+IF(O157="○",1,0)+IF(P157="○",1,0),"")</f>
        <v/>
      </c>
      <c r="Y157" s="20"/>
      <c r="Z157" s="18"/>
      <c r="AA157" s="20"/>
      <c r="AB157" s="20"/>
    </row>
    <row r="158" customFormat="false" ht="15" hidden="false" customHeight="false" outlineLevel="0" collapsed="false">
      <c r="A158" s="13" t="s">
        <v>392</v>
      </c>
      <c r="B158" s="14" t="s">
        <v>393</v>
      </c>
      <c r="C158" s="15" t="s">
        <v>61</v>
      </c>
      <c r="D158" s="15" t="n">
        <v>12</v>
      </c>
      <c r="E158" s="14" t="s">
        <v>75</v>
      </c>
      <c r="F158" s="15" t="s">
        <v>80</v>
      </c>
      <c r="G158" s="16" t="s">
        <v>64</v>
      </c>
      <c r="H158" s="17" t="n">
        <v>1</v>
      </c>
      <c r="I158" s="18"/>
      <c r="J158" s="15" t="n">
        <f aca="false">IF(AND(H158=1,N(I158)&gt;0),1,0)</f>
        <v>0</v>
      </c>
      <c r="K158" s="15" t="str">
        <f aca="false">IF(J158=1,SUMPRODUCT(($J$5:$J$312=1)*(N($I$5:$I$312)&gt;N(I158)))+1,"")</f>
        <v/>
      </c>
      <c r="L158" s="15" t="str">
        <f aca="false">IF(J158&lt;&gt;1,"",IF(K158&lt;=ROUND(SUM($J$5:$J$312)*0.2,0),"上位20%",IF(K158&lt;=ROUND(SUM($J$5:$J$312)*0.8,0),"中位60%","下位20%")))</f>
        <v/>
      </c>
      <c r="M158" s="15" t="str">
        <f aca="false">IF(F158="あり","◎","")</f>
        <v/>
      </c>
      <c r="N158" s="15" t="str">
        <f aca="false">IF(OR(LEFT(G158,1)="A",LEFT(G158,1)="B"),"◎","")</f>
        <v/>
      </c>
      <c r="O158" s="19"/>
      <c r="P158" s="19"/>
      <c r="Q158" s="19"/>
      <c r="R158" s="19"/>
      <c r="S158" s="19"/>
      <c r="T158" s="19"/>
      <c r="U158" s="19"/>
      <c r="V158" s="19"/>
      <c r="W158" s="15" t="str">
        <f aca="false">IF((N(Q158)+N(R158)+N(S158)+N(T158)+N(U158)+N(V158))=0,"",IF(AND((N(Q158)+N(R158)+N(T158))&gt;=2,(N(Q158)+N(R158)+N(S158)+N(T158)+N(U158)+N(V158))&gt;=4),"高",IF(AND((N(Q158)+N(R158)+N(T158))&gt;=1,(N(Q158)+N(R158)+N(S158)+N(T158)+N(U158)+N(V158))=3),"中","低")))</f>
        <v/>
      </c>
      <c r="X158" s="15" t="str">
        <f aca="false">IF(L158="中位60%",IF(W158="高",3,IF(W158="中",2,IF(W158="低",1,0)))+IF(M158="◎",1,0)+IF(N158="◎",1,0)+IF(O158="○",1,0)+IF(P158="○",1,0),"")</f>
        <v/>
      </c>
      <c r="Y158" s="20"/>
      <c r="Z158" s="18"/>
      <c r="AA158" s="20"/>
      <c r="AB158" s="20"/>
    </row>
    <row r="159" customFormat="false" ht="15" hidden="false" customHeight="false" outlineLevel="0" collapsed="false">
      <c r="A159" s="13" t="s">
        <v>394</v>
      </c>
      <c r="B159" s="14" t="s">
        <v>395</v>
      </c>
      <c r="C159" s="15" t="s">
        <v>61</v>
      </c>
      <c r="D159" s="15" t="n">
        <v>12</v>
      </c>
      <c r="E159" s="14" t="s">
        <v>79</v>
      </c>
      <c r="F159" s="15" t="s">
        <v>63</v>
      </c>
      <c r="G159" s="16" t="s">
        <v>88</v>
      </c>
      <c r="H159" s="17" t="n">
        <v>1</v>
      </c>
      <c r="I159" s="18"/>
      <c r="J159" s="15" t="n">
        <f aca="false">IF(AND(H159=1,N(I159)&gt;0),1,0)</f>
        <v>0</v>
      </c>
      <c r="K159" s="15" t="str">
        <f aca="false">IF(J159=1,SUMPRODUCT(($J$5:$J$312=1)*(N($I$5:$I$312)&gt;N(I159)))+1,"")</f>
        <v/>
      </c>
      <c r="L159" s="15" t="str">
        <f aca="false">IF(J159&lt;&gt;1,"",IF(K159&lt;=ROUND(SUM($J$5:$J$312)*0.2,0),"上位20%",IF(K159&lt;=ROUND(SUM($J$5:$J$312)*0.8,0),"中位60%","下位20%")))</f>
        <v/>
      </c>
      <c r="M159" s="15" t="str">
        <f aca="false">IF(F159="あり","◎","")</f>
        <v>◎</v>
      </c>
      <c r="N159" s="15" t="str">
        <f aca="false">IF(OR(LEFT(G159,1)="A",LEFT(G159,1)="B"),"◎","")</f>
        <v/>
      </c>
      <c r="O159" s="19"/>
      <c r="P159" s="19"/>
      <c r="Q159" s="19"/>
      <c r="R159" s="19"/>
      <c r="S159" s="19"/>
      <c r="T159" s="19"/>
      <c r="U159" s="19"/>
      <c r="V159" s="19"/>
      <c r="W159" s="15" t="str">
        <f aca="false">IF((N(Q159)+N(R159)+N(S159)+N(T159)+N(U159)+N(V159))=0,"",IF(AND((N(Q159)+N(R159)+N(T159))&gt;=2,(N(Q159)+N(R159)+N(S159)+N(T159)+N(U159)+N(V159))&gt;=4),"高",IF(AND((N(Q159)+N(R159)+N(T159))&gt;=1,(N(Q159)+N(R159)+N(S159)+N(T159)+N(U159)+N(V159))=3),"中","低")))</f>
        <v/>
      </c>
      <c r="X159" s="15" t="str">
        <f aca="false">IF(L159="中位60%",IF(W159="高",3,IF(W159="中",2,IF(W159="低",1,0)))+IF(M159="◎",1,0)+IF(N159="◎",1,0)+IF(O159="○",1,0)+IF(P159="○",1,0),"")</f>
        <v/>
      </c>
      <c r="Y159" s="20"/>
      <c r="Z159" s="18"/>
      <c r="AA159" s="20"/>
      <c r="AB159" s="20"/>
    </row>
    <row r="160" customFormat="false" ht="15" hidden="false" customHeight="false" outlineLevel="0" collapsed="false">
      <c r="A160" s="13" t="s">
        <v>396</v>
      </c>
      <c r="B160" s="14" t="s">
        <v>397</v>
      </c>
      <c r="C160" s="15" t="s">
        <v>61</v>
      </c>
      <c r="D160" s="15" t="n">
        <v>12</v>
      </c>
      <c r="E160" s="14" t="s">
        <v>101</v>
      </c>
      <c r="F160" s="15" t="s">
        <v>63</v>
      </c>
      <c r="G160" s="14"/>
      <c r="H160" s="17" t="n">
        <v>1</v>
      </c>
      <c r="I160" s="18"/>
      <c r="J160" s="15" t="n">
        <f aca="false">IF(AND(H160=1,N(I160)&gt;0),1,0)</f>
        <v>0</v>
      </c>
      <c r="K160" s="15" t="str">
        <f aca="false">IF(J160=1,SUMPRODUCT(($J$5:$J$312=1)*(N($I$5:$I$312)&gt;N(I160)))+1,"")</f>
        <v/>
      </c>
      <c r="L160" s="15" t="str">
        <f aca="false">IF(J160&lt;&gt;1,"",IF(K160&lt;=ROUND(SUM($J$5:$J$312)*0.2,0),"上位20%",IF(K160&lt;=ROUND(SUM($J$5:$J$312)*0.8,0),"中位60%","下位20%")))</f>
        <v/>
      </c>
      <c r="M160" s="15" t="str">
        <f aca="false">IF(F160="あり","◎","")</f>
        <v>◎</v>
      </c>
      <c r="N160" s="15" t="str">
        <f aca="false">IF(OR(LEFT(G160,1)="A",LEFT(G160,1)="B"),"◎","")</f>
        <v/>
      </c>
      <c r="O160" s="19"/>
      <c r="P160" s="19"/>
      <c r="Q160" s="19"/>
      <c r="R160" s="19"/>
      <c r="S160" s="19"/>
      <c r="T160" s="19"/>
      <c r="U160" s="19"/>
      <c r="V160" s="19"/>
      <c r="W160" s="15" t="str">
        <f aca="false">IF((N(Q160)+N(R160)+N(S160)+N(T160)+N(U160)+N(V160))=0,"",IF(AND((N(Q160)+N(R160)+N(T160))&gt;=2,(N(Q160)+N(R160)+N(S160)+N(T160)+N(U160)+N(V160))&gt;=4),"高",IF(AND((N(Q160)+N(R160)+N(T160))&gt;=1,(N(Q160)+N(R160)+N(S160)+N(T160)+N(U160)+N(V160))=3),"中","低")))</f>
        <v/>
      </c>
      <c r="X160" s="15" t="str">
        <f aca="false">IF(L160="中位60%",IF(W160="高",3,IF(W160="中",2,IF(W160="低",1,0)))+IF(M160="◎",1,0)+IF(N160="◎",1,0)+IF(O160="○",1,0)+IF(P160="○",1,0),"")</f>
        <v/>
      </c>
      <c r="Y160" s="20"/>
      <c r="Z160" s="18"/>
      <c r="AA160" s="20"/>
      <c r="AB160" s="20"/>
    </row>
    <row r="161" customFormat="false" ht="15" hidden="false" customHeight="false" outlineLevel="0" collapsed="false">
      <c r="A161" s="13" t="s">
        <v>398</v>
      </c>
      <c r="B161" s="14" t="s">
        <v>399</v>
      </c>
      <c r="C161" s="15" t="s">
        <v>61</v>
      </c>
      <c r="D161" s="15" t="n">
        <v>12</v>
      </c>
      <c r="E161" s="14" t="s">
        <v>62</v>
      </c>
      <c r="F161" s="15" t="s">
        <v>80</v>
      </c>
      <c r="G161" s="14"/>
      <c r="H161" s="17" t="n">
        <v>1</v>
      </c>
      <c r="I161" s="18"/>
      <c r="J161" s="15" t="n">
        <f aca="false">IF(AND(H161=1,N(I161)&gt;0),1,0)</f>
        <v>0</v>
      </c>
      <c r="K161" s="15" t="str">
        <f aca="false">IF(J161=1,SUMPRODUCT(($J$5:$J$312=1)*(N($I$5:$I$312)&gt;N(I161)))+1,"")</f>
        <v/>
      </c>
      <c r="L161" s="15" t="str">
        <f aca="false">IF(J161&lt;&gt;1,"",IF(K161&lt;=ROUND(SUM($J$5:$J$312)*0.2,0),"上位20%",IF(K161&lt;=ROUND(SUM($J$5:$J$312)*0.8,0),"中位60%","下位20%")))</f>
        <v/>
      </c>
      <c r="M161" s="15" t="str">
        <f aca="false">IF(F161="あり","◎","")</f>
        <v/>
      </c>
      <c r="N161" s="15" t="str">
        <f aca="false">IF(OR(LEFT(G161,1)="A",LEFT(G161,1)="B"),"◎","")</f>
        <v/>
      </c>
      <c r="O161" s="19"/>
      <c r="P161" s="19"/>
      <c r="Q161" s="19"/>
      <c r="R161" s="19"/>
      <c r="S161" s="19"/>
      <c r="T161" s="19"/>
      <c r="U161" s="19"/>
      <c r="V161" s="19"/>
      <c r="W161" s="15" t="str">
        <f aca="false">IF((N(Q161)+N(R161)+N(S161)+N(T161)+N(U161)+N(V161))=0,"",IF(AND((N(Q161)+N(R161)+N(T161))&gt;=2,(N(Q161)+N(R161)+N(S161)+N(T161)+N(U161)+N(V161))&gt;=4),"高",IF(AND((N(Q161)+N(R161)+N(T161))&gt;=1,(N(Q161)+N(R161)+N(S161)+N(T161)+N(U161)+N(V161))=3),"中","低")))</f>
        <v/>
      </c>
      <c r="X161" s="15" t="str">
        <f aca="false">IF(L161="中位60%",IF(W161="高",3,IF(W161="中",2,IF(W161="低",1,0)))+IF(M161="◎",1,0)+IF(N161="◎",1,0)+IF(O161="○",1,0)+IF(P161="○",1,0),"")</f>
        <v/>
      </c>
      <c r="Y161" s="20"/>
      <c r="Z161" s="18"/>
      <c r="AA161" s="20"/>
      <c r="AB161" s="20"/>
    </row>
    <row r="162" customFormat="false" ht="15" hidden="false" customHeight="false" outlineLevel="0" collapsed="false">
      <c r="A162" s="13" t="s">
        <v>400</v>
      </c>
      <c r="B162" s="14" t="s">
        <v>401</v>
      </c>
      <c r="C162" s="15" t="s">
        <v>61</v>
      </c>
      <c r="D162" s="15" t="n">
        <v>12</v>
      </c>
      <c r="E162" s="14" t="s">
        <v>117</v>
      </c>
      <c r="F162" s="15" t="s">
        <v>80</v>
      </c>
      <c r="G162" s="16" t="s">
        <v>76</v>
      </c>
      <c r="H162" s="17" t="n">
        <v>1</v>
      </c>
      <c r="I162" s="18"/>
      <c r="J162" s="15" t="n">
        <f aca="false">IF(AND(H162=1,N(I162)&gt;0),1,0)</f>
        <v>0</v>
      </c>
      <c r="K162" s="15" t="str">
        <f aca="false">IF(J162=1,SUMPRODUCT(($J$5:$J$312=1)*(N($I$5:$I$312)&gt;N(I162)))+1,"")</f>
        <v/>
      </c>
      <c r="L162" s="15" t="str">
        <f aca="false">IF(J162&lt;&gt;1,"",IF(K162&lt;=ROUND(SUM($J$5:$J$312)*0.2,0),"上位20%",IF(K162&lt;=ROUND(SUM($J$5:$J$312)*0.8,0),"中位60%","下位20%")))</f>
        <v/>
      </c>
      <c r="M162" s="15" t="str">
        <f aca="false">IF(F162="あり","◎","")</f>
        <v/>
      </c>
      <c r="N162" s="15" t="str">
        <f aca="false">IF(OR(LEFT(G162,1)="A",LEFT(G162,1)="B"),"◎","")</f>
        <v>◎</v>
      </c>
      <c r="O162" s="19"/>
      <c r="P162" s="19"/>
      <c r="Q162" s="19"/>
      <c r="R162" s="19"/>
      <c r="S162" s="19"/>
      <c r="T162" s="19"/>
      <c r="U162" s="19"/>
      <c r="V162" s="19"/>
      <c r="W162" s="15" t="str">
        <f aca="false">IF((N(Q162)+N(R162)+N(S162)+N(T162)+N(U162)+N(V162))=0,"",IF(AND((N(Q162)+N(R162)+N(T162))&gt;=2,(N(Q162)+N(R162)+N(S162)+N(T162)+N(U162)+N(V162))&gt;=4),"高",IF(AND((N(Q162)+N(R162)+N(T162))&gt;=1,(N(Q162)+N(R162)+N(S162)+N(T162)+N(U162)+N(V162))=3),"中","低")))</f>
        <v/>
      </c>
      <c r="X162" s="15" t="str">
        <f aca="false">IF(L162="中位60%",IF(W162="高",3,IF(W162="中",2,IF(W162="低",1,0)))+IF(M162="◎",1,0)+IF(N162="◎",1,0)+IF(O162="○",1,0)+IF(P162="○",1,0),"")</f>
        <v/>
      </c>
      <c r="Y162" s="20"/>
      <c r="Z162" s="18"/>
      <c r="AA162" s="20"/>
      <c r="AB162" s="20"/>
    </row>
    <row r="163" customFormat="false" ht="15" hidden="false" customHeight="false" outlineLevel="0" collapsed="false">
      <c r="A163" s="13" t="s">
        <v>402</v>
      </c>
      <c r="B163" s="14" t="s">
        <v>403</v>
      </c>
      <c r="C163" s="15" t="s">
        <v>61</v>
      </c>
      <c r="D163" s="15" t="n">
        <v>12</v>
      </c>
      <c r="E163" s="14" t="s">
        <v>91</v>
      </c>
      <c r="F163" s="15" t="s">
        <v>63</v>
      </c>
      <c r="G163" s="14"/>
      <c r="H163" s="17" t="n">
        <v>1</v>
      </c>
      <c r="I163" s="18"/>
      <c r="J163" s="15" t="n">
        <f aca="false">IF(AND(H163=1,N(I163)&gt;0),1,0)</f>
        <v>0</v>
      </c>
      <c r="K163" s="15" t="str">
        <f aca="false">IF(J163=1,SUMPRODUCT(($J$5:$J$312=1)*(N($I$5:$I$312)&gt;N(I163)))+1,"")</f>
        <v/>
      </c>
      <c r="L163" s="15" t="str">
        <f aca="false">IF(J163&lt;&gt;1,"",IF(K163&lt;=ROUND(SUM($J$5:$J$312)*0.2,0),"上位20%",IF(K163&lt;=ROUND(SUM($J$5:$J$312)*0.8,0),"中位60%","下位20%")))</f>
        <v/>
      </c>
      <c r="M163" s="15" t="str">
        <f aca="false">IF(F163="あり","◎","")</f>
        <v>◎</v>
      </c>
      <c r="N163" s="15" t="str">
        <f aca="false">IF(OR(LEFT(G163,1)="A",LEFT(G163,1)="B"),"◎","")</f>
        <v/>
      </c>
      <c r="O163" s="19"/>
      <c r="P163" s="19"/>
      <c r="Q163" s="19"/>
      <c r="R163" s="19"/>
      <c r="S163" s="19"/>
      <c r="T163" s="19"/>
      <c r="U163" s="19"/>
      <c r="V163" s="19"/>
      <c r="W163" s="15" t="str">
        <f aca="false">IF((N(Q163)+N(R163)+N(S163)+N(T163)+N(U163)+N(V163))=0,"",IF(AND((N(Q163)+N(R163)+N(T163))&gt;=2,(N(Q163)+N(R163)+N(S163)+N(T163)+N(U163)+N(V163))&gt;=4),"高",IF(AND((N(Q163)+N(R163)+N(T163))&gt;=1,(N(Q163)+N(R163)+N(S163)+N(T163)+N(U163)+N(V163))=3),"中","低")))</f>
        <v/>
      </c>
      <c r="X163" s="15" t="str">
        <f aca="false">IF(L163="中位60%",IF(W163="高",3,IF(W163="中",2,IF(W163="低",1,0)))+IF(M163="◎",1,0)+IF(N163="◎",1,0)+IF(O163="○",1,0)+IF(P163="○",1,0),"")</f>
        <v/>
      </c>
      <c r="Y163" s="20"/>
      <c r="Z163" s="18"/>
      <c r="AA163" s="20"/>
      <c r="AB163" s="20"/>
    </row>
    <row r="164" customFormat="false" ht="15" hidden="false" customHeight="false" outlineLevel="0" collapsed="false">
      <c r="A164" s="13" t="s">
        <v>404</v>
      </c>
      <c r="B164" s="14" t="s">
        <v>405</v>
      </c>
      <c r="C164" s="15" t="s">
        <v>406</v>
      </c>
      <c r="D164" s="15" t="n">
        <v>12</v>
      </c>
      <c r="E164" s="14" t="s">
        <v>79</v>
      </c>
      <c r="F164" s="15" t="s">
        <v>80</v>
      </c>
      <c r="G164" s="16" t="s">
        <v>88</v>
      </c>
      <c r="H164" s="17" t="n">
        <v>1</v>
      </c>
      <c r="I164" s="18"/>
      <c r="J164" s="15" t="n">
        <f aca="false">IF(AND(H164=1,N(I164)&gt;0),1,0)</f>
        <v>0</v>
      </c>
      <c r="K164" s="15" t="str">
        <f aca="false">IF(J164=1,SUMPRODUCT(($J$5:$J$312=1)*(N($I$5:$I$312)&gt;N(I164)))+1,"")</f>
        <v/>
      </c>
      <c r="L164" s="15" t="str">
        <f aca="false">IF(J164&lt;&gt;1,"",IF(K164&lt;=ROUND(SUM($J$5:$J$312)*0.2,0),"上位20%",IF(K164&lt;=ROUND(SUM($J$5:$J$312)*0.8,0),"中位60%","下位20%")))</f>
        <v/>
      </c>
      <c r="M164" s="15" t="str">
        <f aca="false">IF(F164="あり","◎","")</f>
        <v/>
      </c>
      <c r="N164" s="15" t="str">
        <f aca="false">IF(OR(LEFT(G164,1)="A",LEFT(G164,1)="B"),"◎","")</f>
        <v/>
      </c>
      <c r="O164" s="19"/>
      <c r="P164" s="19"/>
      <c r="Q164" s="19"/>
      <c r="R164" s="19"/>
      <c r="S164" s="19"/>
      <c r="T164" s="19"/>
      <c r="U164" s="19"/>
      <c r="V164" s="19"/>
      <c r="W164" s="15" t="str">
        <f aca="false">IF((N(Q164)+N(R164)+N(S164)+N(T164)+N(U164)+N(V164))=0,"",IF(AND((N(Q164)+N(R164)+N(T164))&gt;=2,(N(Q164)+N(R164)+N(S164)+N(T164)+N(U164)+N(V164))&gt;=4),"高",IF(AND((N(Q164)+N(R164)+N(T164))&gt;=1,(N(Q164)+N(R164)+N(S164)+N(T164)+N(U164)+N(V164))=3),"中","低")))</f>
        <v/>
      </c>
      <c r="X164" s="15" t="str">
        <f aca="false">IF(L164="中位60%",IF(W164="高",3,IF(W164="中",2,IF(W164="低",1,0)))+IF(M164="◎",1,0)+IF(N164="◎",1,0)+IF(O164="○",1,0)+IF(P164="○",1,0),"")</f>
        <v/>
      </c>
      <c r="Y164" s="20"/>
      <c r="Z164" s="18"/>
      <c r="AA164" s="20"/>
      <c r="AB164" s="20"/>
    </row>
    <row r="165" customFormat="false" ht="15" hidden="false" customHeight="false" outlineLevel="0" collapsed="false">
      <c r="A165" s="13" t="s">
        <v>407</v>
      </c>
      <c r="B165" s="14" t="s">
        <v>408</v>
      </c>
      <c r="C165" s="15" t="s">
        <v>406</v>
      </c>
      <c r="D165" s="15" t="n">
        <v>12</v>
      </c>
      <c r="E165" s="14" t="s">
        <v>91</v>
      </c>
      <c r="F165" s="15" t="s">
        <v>80</v>
      </c>
      <c r="G165" s="16" t="s">
        <v>76</v>
      </c>
      <c r="H165" s="17" t="n">
        <v>1</v>
      </c>
      <c r="I165" s="18"/>
      <c r="J165" s="15" t="n">
        <f aca="false">IF(AND(H165=1,N(I165)&gt;0),1,0)</f>
        <v>0</v>
      </c>
      <c r="K165" s="15" t="str">
        <f aca="false">IF(J165=1,SUMPRODUCT(($J$5:$J$312=1)*(N($I$5:$I$312)&gt;N(I165)))+1,"")</f>
        <v/>
      </c>
      <c r="L165" s="15" t="str">
        <f aca="false">IF(J165&lt;&gt;1,"",IF(K165&lt;=ROUND(SUM($J$5:$J$312)*0.2,0),"上位20%",IF(K165&lt;=ROUND(SUM($J$5:$J$312)*0.8,0),"中位60%","下位20%")))</f>
        <v/>
      </c>
      <c r="M165" s="15" t="str">
        <f aca="false">IF(F165="あり","◎","")</f>
        <v/>
      </c>
      <c r="N165" s="15" t="str">
        <f aca="false">IF(OR(LEFT(G165,1)="A",LEFT(G165,1)="B"),"◎","")</f>
        <v>◎</v>
      </c>
      <c r="O165" s="19"/>
      <c r="P165" s="19"/>
      <c r="Q165" s="19"/>
      <c r="R165" s="19"/>
      <c r="S165" s="19"/>
      <c r="T165" s="19"/>
      <c r="U165" s="19"/>
      <c r="V165" s="19"/>
      <c r="W165" s="15" t="str">
        <f aca="false">IF((N(Q165)+N(R165)+N(S165)+N(T165)+N(U165)+N(V165))=0,"",IF(AND((N(Q165)+N(R165)+N(T165))&gt;=2,(N(Q165)+N(R165)+N(S165)+N(T165)+N(U165)+N(V165))&gt;=4),"高",IF(AND((N(Q165)+N(R165)+N(T165))&gt;=1,(N(Q165)+N(R165)+N(S165)+N(T165)+N(U165)+N(V165))=3),"中","低")))</f>
        <v/>
      </c>
      <c r="X165" s="15" t="str">
        <f aca="false">IF(L165="中位60%",IF(W165="高",3,IF(W165="中",2,IF(W165="低",1,0)))+IF(M165="◎",1,0)+IF(N165="◎",1,0)+IF(O165="○",1,0)+IF(P165="○",1,0),"")</f>
        <v/>
      </c>
      <c r="Y165" s="20"/>
      <c r="Z165" s="18"/>
      <c r="AA165" s="20"/>
      <c r="AB165" s="20"/>
    </row>
    <row r="166" customFormat="false" ht="15" hidden="false" customHeight="false" outlineLevel="0" collapsed="false">
      <c r="A166" s="13" t="s">
        <v>409</v>
      </c>
      <c r="B166" s="14" t="s">
        <v>410</v>
      </c>
      <c r="C166" s="15" t="s">
        <v>406</v>
      </c>
      <c r="D166" s="15" t="n">
        <v>12</v>
      </c>
      <c r="E166" s="14"/>
      <c r="F166" s="15" t="s">
        <v>80</v>
      </c>
      <c r="G166" s="14"/>
      <c r="H166" s="17" t="n">
        <v>1</v>
      </c>
      <c r="I166" s="18"/>
      <c r="J166" s="15" t="n">
        <f aca="false">IF(AND(H166=1,N(I166)&gt;0),1,0)</f>
        <v>0</v>
      </c>
      <c r="K166" s="15" t="str">
        <f aca="false">IF(J166=1,SUMPRODUCT(($J$5:$J$312=1)*(N($I$5:$I$312)&gt;N(I166)))+1,"")</f>
        <v/>
      </c>
      <c r="L166" s="15" t="str">
        <f aca="false">IF(J166&lt;&gt;1,"",IF(K166&lt;=ROUND(SUM($J$5:$J$312)*0.2,0),"上位20%",IF(K166&lt;=ROUND(SUM($J$5:$J$312)*0.8,0),"中位60%","下位20%")))</f>
        <v/>
      </c>
      <c r="M166" s="15" t="str">
        <f aca="false">IF(F166="あり","◎","")</f>
        <v/>
      </c>
      <c r="N166" s="15" t="str">
        <f aca="false">IF(OR(LEFT(G166,1)="A",LEFT(G166,1)="B"),"◎","")</f>
        <v/>
      </c>
      <c r="O166" s="19"/>
      <c r="P166" s="19"/>
      <c r="Q166" s="19"/>
      <c r="R166" s="19"/>
      <c r="S166" s="19"/>
      <c r="T166" s="19"/>
      <c r="U166" s="19"/>
      <c r="V166" s="19"/>
      <c r="W166" s="15" t="str">
        <f aca="false">IF((N(Q166)+N(R166)+N(S166)+N(T166)+N(U166)+N(V166))=0,"",IF(AND((N(Q166)+N(R166)+N(T166))&gt;=2,(N(Q166)+N(R166)+N(S166)+N(T166)+N(U166)+N(V166))&gt;=4),"高",IF(AND((N(Q166)+N(R166)+N(T166))&gt;=1,(N(Q166)+N(R166)+N(S166)+N(T166)+N(U166)+N(V166))=3),"中","低")))</f>
        <v/>
      </c>
      <c r="X166" s="15" t="str">
        <f aca="false">IF(L166="中位60%",IF(W166="高",3,IF(W166="中",2,IF(W166="低",1,0)))+IF(M166="◎",1,0)+IF(N166="◎",1,0)+IF(O166="○",1,0)+IF(P166="○",1,0),"")</f>
        <v/>
      </c>
      <c r="Y166" s="20"/>
      <c r="Z166" s="18"/>
      <c r="AA166" s="20"/>
      <c r="AB166" s="20"/>
    </row>
    <row r="167" customFormat="false" ht="15" hidden="false" customHeight="false" outlineLevel="0" collapsed="false">
      <c r="A167" s="13" t="s">
        <v>411</v>
      </c>
      <c r="B167" s="14" t="s">
        <v>412</v>
      </c>
      <c r="C167" s="15" t="s">
        <v>406</v>
      </c>
      <c r="D167" s="15" t="n">
        <v>12</v>
      </c>
      <c r="E167" s="14" t="s">
        <v>75</v>
      </c>
      <c r="F167" s="15" t="s">
        <v>63</v>
      </c>
      <c r="G167" s="16" t="s">
        <v>88</v>
      </c>
      <c r="H167" s="17" t="n">
        <v>1</v>
      </c>
      <c r="I167" s="18"/>
      <c r="J167" s="15" t="n">
        <f aca="false">IF(AND(H167=1,N(I167)&gt;0),1,0)</f>
        <v>0</v>
      </c>
      <c r="K167" s="15" t="str">
        <f aca="false">IF(J167=1,SUMPRODUCT(($J$5:$J$312=1)*(N($I$5:$I$312)&gt;N(I167)))+1,"")</f>
        <v/>
      </c>
      <c r="L167" s="15" t="str">
        <f aca="false">IF(J167&lt;&gt;1,"",IF(K167&lt;=ROUND(SUM($J$5:$J$312)*0.2,0),"上位20%",IF(K167&lt;=ROUND(SUM($J$5:$J$312)*0.8,0),"中位60%","下位20%")))</f>
        <v/>
      </c>
      <c r="M167" s="15" t="str">
        <f aca="false">IF(F167="あり","◎","")</f>
        <v>◎</v>
      </c>
      <c r="N167" s="15" t="str">
        <f aca="false">IF(OR(LEFT(G167,1)="A",LEFT(G167,1)="B"),"◎","")</f>
        <v/>
      </c>
      <c r="O167" s="19"/>
      <c r="P167" s="19"/>
      <c r="Q167" s="19"/>
      <c r="R167" s="19"/>
      <c r="S167" s="19"/>
      <c r="T167" s="19"/>
      <c r="U167" s="19"/>
      <c r="V167" s="19"/>
      <c r="W167" s="15" t="str">
        <f aca="false">IF((N(Q167)+N(R167)+N(S167)+N(T167)+N(U167)+N(V167))=0,"",IF(AND((N(Q167)+N(R167)+N(T167))&gt;=2,(N(Q167)+N(R167)+N(S167)+N(T167)+N(U167)+N(V167))&gt;=4),"高",IF(AND((N(Q167)+N(R167)+N(T167))&gt;=1,(N(Q167)+N(R167)+N(S167)+N(T167)+N(U167)+N(V167))=3),"中","低")))</f>
        <v/>
      </c>
      <c r="X167" s="15" t="str">
        <f aca="false">IF(L167="中位60%",IF(W167="高",3,IF(W167="中",2,IF(W167="低",1,0)))+IF(M167="◎",1,0)+IF(N167="◎",1,0)+IF(O167="○",1,0)+IF(P167="○",1,0),"")</f>
        <v/>
      </c>
      <c r="Y167" s="20"/>
      <c r="Z167" s="18"/>
      <c r="AA167" s="20"/>
      <c r="AB167" s="20"/>
    </row>
    <row r="168" customFormat="false" ht="15" hidden="false" customHeight="false" outlineLevel="0" collapsed="false">
      <c r="A168" s="13" t="s">
        <v>413</v>
      </c>
      <c r="B168" s="14" t="s">
        <v>414</v>
      </c>
      <c r="C168" s="15" t="s">
        <v>406</v>
      </c>
      <c r="D168" s="15" t="n">
        <v>12</v>
      </c>
      <c r="E168" s="14" t="s">
        <v>101</v>
      </c>
      <c r="F168" s="15" t="s">
        <v>63</v>
      </c>
      <c r="G168" s="16" t="s">
        <v>88</v>
      </c>
      <c r="H168" s="17" t="n">
        <v>1</v>
      </c>
      <c r="I168" s="18"/>
      <c r="J168" s="15" t="n">
        <f aca="false">IF(AND(H168=1,N(I168)&gt;0),1,0)</f>
        <v>0</v>
      </c>
      <c r="K168" s="15" t="str">
        <f aca="false">IF(J168=1,SUMPRODUCT(($J$5:$J$312=1)*(N($I$5:$I$312)&gt;N(I168)))+1,"")</f>
        <v/>
      </c>
      <c r="L168" s="15" t="str">
        <f aca="false">IF(J168&lt;&gt;1,"",IF(K168&lt;=ROUND(SUM($J$5:$J$312)*0.2,0),"上位20%",IF(K168&lt;=ROUND(SUM($J$5:$J$312)*0.8,0),"中位60%","下位20%")))</f>
        <v/>
      </c>
      <c r="M168" s="15" t="str">
        <f aca="false">IF(F168="あり","◎","")</f>
        <v>◎</v>
      </c>
      <c r="N168" s="15" t="str">
        <f aca="false">IF(OR(LEFT(G168,1)="A",LEFT(G168,1)="B"),"◎","")</f>
        <v/>
      </c>
      <c r="O168" s="19"/>
      <c r="P168" s="19"/>
      <c r="Q168" s="19"/>
      <c r="R168" s="19"/>
      <c r="S168" s="19"/>
      <c r="T168" s="19"/>
      <c r="U168" s="19"/>
      <c r="V168" s="19"/>
      <c r="W168" s="15" t="str">
        <f aca="false">IF((N(Q168)+N(R168)+N(S168)+N(T168)+N(U168)+N(V168))=0,"",IF(AND((N(Q168)+N(R168)+N(T168))&gt;=2,(N(Q168)+N(R168)+N(S168)+N(T168)+N(U168)+N(V168))&gt;=4),"高",IF(AND((N(Q168)+N(R168)+N(T168))&gt;=1,(N(Q168)+N(R168)+N(S168)+N(T168)+N(U168)+N(V168))=3),"中","低")))</f>
        <v/>
      </c>
      <c r="X168" s="15" t="str">
        <f aca="false">IF(L168="中位60%",IF(W168="高",3,IF(W168="中",2,IF(W168="低",1,0)))+IF(M168="◎",1,0)+IF(N168="◎",1,0)+IF(O168="○",1,0)+IF(P168="○",1,0),"")</f>
        <v/>
      </c>
      <c r="Y168" s="20"/>
      <c r="Z168" s="18"/>
      <c r="AA168" s="20"/>
      <c r="AB168" s="20"/>
    </row>
    <row r="169" customFormat="false" ht="15" hidden="false" customHeight="false" outlineLevel="0" collapsed="false">
      <c r="A169" s="13" t="s">
        <v>415</v>
      </c>
      <c r="B169" s="14" t="s">
        <v>416</v>
      </c>
      <c r="C169" s="15" t="s">
        <v>406</v>
      </c>
      <c r="D169" s="15" t="n">
        <v>12</v>
      </c>
      <c r="E169" s="14" t="s">
        <v>117</v>
      </c>
      <c r="F169" s="15" t="s">
        <v>80</v>
      </c>
      <c r="G169" s="14"/>
      <c r="H169" s="17" t="n">
        <v>1</v>
      </c>
      <c r="I169" s="18"/>
      <c r="J169" s="15" t="n">
        <f aca="false">IF(AND(H169=1,N(I169)&gt;0),1,0)</f>
        <v>0</v>
      </c>
      <c r="K169" s="15" t="str">
        <f aca="false">IF(J169=1,SUMPRODUCT(($J$5:$J$312=1)*(N($I$5:$I$312)&gt;N(I169)))+1,"")</f>
        <v/>
      </c>
      <c r="L169" s="15" t="str">
        <f aca="false">IF(J169&lt;&gt;1,"",IF(K169&lt;=ROUND(SUM($J$5:$J$312)*0.2,0),"上位20%",IF(K169&lt;=ROUND(SUM($J$5:$J$312)*0.8,0),"中位60%","下位20%")))</f>
        <v/>
      </c>
      <c r="M169" s="15" t="str">
        <f aca="false">IF(F169="あり","◎","")</f>
        <v/>
      </c>
      <c r="N169" s="15" t="str">
        <f aca="false">IF(OR(LEFT(G169,1)="A",LEFT(G169,1)="B"),"◎","")</f>
        <v/>
      </c>
      <c r="O169" s="19"/>
      <c r="P169" s="19"/>
      <c r="Q169" s="19"/>
      <c r="R169" s="19"/>
      <c r="S169" s="19"/>
      <c r="T169" s="19"/>
      <c r="U169" s="19"/>
      <c r="V169" s="19"/>
      <c r="W169" s="15" t="str">
        <f aca="false">IF((N(Q169)+N(R169)+N(S169)+N(T169)+N(U169)+N(V169))=0,"",IF(AND((N(Q169)+N(R169)+N(T169))&gt;=2,(N(Q169)+N(R169)+N(S169)+N(T169)+N(U169)+N(V169))&gt;=4),"高",IF(AND((N(Q169)+N(R169)+N(T169))&gt;=1,(N(Q169)+N(R169)+N(S169)+N(T169)+N(U169)+N(V169))=3),"中","低")))</f>
        <v/>
      </c>
      <c r="X169" s="15" t="str">
        <f aca="false">IF(L169="中位60%",IF(W169="高",3,IF(W169="中",2,IF(W169="低",1,0)))+IF(M169="◎",1,0)+IF(N169="◎",1,0)+IF(O169="○",1,0)+IF(P169="○",1,0),"")</f>
        <v/>
      </c>
      <c r="Y169" s="20"/>
      <c r="Z169" s="18"/>
      <c r="AA169" s="20"/>
      <c r="AB169" s="20"/>
    </row>
    <row r="170" customFormat="false" ht="15" hidden="false" customHeight="false" outlineLevel="0" collapsed="false">
      <c r="A170" s="13" t="s">
        <v>417</v>
      </c>
      <c r="B170" s="14" t="s">
        <v>418</v>
      </c>
      <c r="C170" s="15" t="s">
        <v>406</v>
      </c>
      <c r="D170" s="15" t="n">
        <v>12</v>
      </c>
      <c r="E170" s="14" t="s">
        <v>117</v>
      </c>
      <c r="F170" s="15" t="s">
        <v>63</v>
      </c>
      <c r="G170" s="16" t="s">
        <v>88</v>
      </c>
      <c r="H170" s="17" t="n">
        <v>1</v>
      </c>
      <c r="I170" s="18"/>
      <c r="J170" s="15" t="n">
        <f aca="false">IF(AND(H170=1,N(I170)&gt;0),1,0)</f>
        <v>0</v>
      </c>
      <c r="K170" s="15" t="str">
        <f aca="false">IF(J170=1,SUMPRODUCT(($J$5:$J$312=1)*(N($I$5:$I$312)&gt;N(I170)))+1,"")</f>
        <v/>
      </c>
      <c r="L170" s="15" t="str">
        <f aca="false">IF(J170&lt;&gt;1,"",IF(K170&lt;=ROUND(SUM($J$5:$J$312)*0.2,0),"上位20%",IF(K170&lt;=ROUND(SUM($J$5:$J$312)*0.8,0),"中位60%","下位20%")))</f>
        <v/>
      </c>
      <c r="M170" s="15" t="str">
        <f aca="false">IF(F170="あり","◎","")</f>
        <v>◎</v>
      </c>
      <c r="N170" s="15" t="str">
        <f aca="false">IF(OR(LEFT(G170,1)="A",LEFT(G170,1)="B"),"◎","")</f>
        <v/>
      </c>
      <c r="O170" s="19"/>
      <c r="P170" s="19"/>
      <c r="Q170" s="19"/>
      <c r="R170" s="19"/>
      <c r="S170" s="19"/>
      <c r="T170" s="19"/>
      <c r="U170" s="19"/>
      <c r="V170" s="19"/>
      <c r="W170" s="15" t="str">
        <f aca="false">IF((N(Q170)+N(R170)+N(S170)+N(T170)+N(U170)+N(V170))=0,"",IF(AND((N(Q170)+N(R170)+N(T170))&gt;=2,(N(Q170)+N(R170)+N(S170)+N(T170)+N(U170)+N(V170))&gt;=4),"高",IF(AND((N(Q170)+N(R170)+N(T170))&gt;=1,(N(Q170)+N(R170)+N(S170)+N(T170)+N(U170)+N(V170))=3),"中","低")))</f>
        <v/>
      </c>
      <c r="X170" s="15" t="str">
        <f aca="false">IF(L170="中位60%",IF(W170="高",3,IF(W170="中",2,IF(W170="低",1,0)))+IF(M170="◎",1,0)+IF(N170="◎",1,0)+IF(O170="○",1,0)+IF(P170="○",1,0),"")</f>
        <v/>
      </c>
      <c r="Y170" s="20"/>
      <c r="Z170" s="18"/>
      <c r="AA170" s="20"/>
      <c r="AB170" s="20"/>
    </row>
    <row r="171" customFormat="false" ht="15" hidden="false" customHeight="false" outlineLevel="0" collapsed="false">
      <c r="A171" s="13" t="s">
        <v>419</v>
      </c>
      <c r="B171" s="14" t="s">
        <v>420</v>
      </c>
      <c r="C171" s="15" t="s">
        <v>406</v>
      </c>
      <c r="D171" s="15" t="n">
        <v>12</v>
      </c>
      <c r="E171" s="14" t="s">
        <v>94</v>
      </c>
      <c r="F171" s="15" t="s">
        <v>63</v>
      </c>
      <c r="G171" s="14"/>
      <c r="H171" s="17" t="n">
        <v>1</v>
      </c>
      <c r="I171" s="18"/>
      <c r="J171" s="15" t="n">
        <f aca="false">IF(AND(H171=1,N(I171)&gt;0),1,0)</f>
        <v>0</v>
      </c>
      <c r="K171" s="15" t="str">
        <f aca="false">IF(J171=1,SUMPRODUCT(($J$5:$J$312=1)*(N($I$5:$I$312)&gt;N(I171)))+1,"")</f>
        <v/>
      </c>
      <c r="L171" s="15" t="str">
        <f aca="false">IF(J171&lt;&gt;1,"",IF(K171&lt;=ROUND(SUM($J$5:$J$312)*0.2,0),"上位20%",IF(K171&lt;=ROUND(SUM($J$5:$J$312)*0.8,0),"中位60%","下位20%")))</f>
        <v/>
      </c>
      <c r="M171" s="15" t="str">
        <f aca="false">IF(F171="あり","◎","")</f>
        <v>◎</v>
      </c>
      <c r="N171" s="15" t="str">
        <f aca="false">IF(OR(LEFT(G171,1)="A",LEFT(G171,1)="B"),"◎","")</f>
        <v/>
      </c>
      <c r="O171" s="19"/>
      <c r="P171" s="19"/>
      <c r="Q171" s="19"/>
      <c r="R171" s="19"/>
      <c r="S171" s="19"/>
      <c r="T171" s="19"/>
      <c r="U171" s="19"/>
      <c r="V171" s="19"/>
      <c r="W171" s="15" t="str">
        <f aca="false">IF((N(Q171)+N(R171)+N(S171)+N(T171)+N(U171)+N(V171))=0,"",IF(AND((N(Q171)+N(R171)+N(T171))&gt;=2,(N(Q171)+N(R171)+N(S171)+N(T171)+N(U171)+N(V171))&gt;=4),"高",IF(AND((N(Q171)+N(R171)+N(T171))&gt;=1,(N(Q171)+N(R171)+N(S171)+N(T171)+N(U171)+N(V171))=3),"中","低")))</f>
        <v/>
      </c>
      <c r="X171" s="15" t="str">
        <f aca="false">IF(L171="中位60%",IF(W171="高",3,IF(W171="中",2,IF(W171="低",1,0)))+IF(M171="◎",1,0)+IF(N171="◎",1,0)+IF(O171="○",1,0)+IF(P171="○",1,0),"")</f>
        <v/>
      </c>
      <c r="Y171" s="20"/>
      <c r="Z171" s="18"/>
      <c r="AA171" s="20"/>
      <c r="AB171" s="20"/>
    </row>
    <row r="172" customFormat="false" ht="15" hidden="false" customHeight="false" outlineLevel="0" collapsed="false">
      <c r="A172" s="13" t="s">
        <v>421</v>
      </c>
      <c r="B172" s="14" t="s">
        <v>422</v>
      </c>
      <c r="C172" s="15" t="s">
        <v>406</v>
      </c>
      <c r="D172" s="15" t="n">
        <v>12</v>
      </c>
      <c r="E172" s="14" t="s">
        <v>101</v>
      </c>
      <c r="F172" s="15" t="s">
        <v>63</v>
      </c>
      <c r="G172" s="16" t="s">
        <v>64</v>
      </c>
      <c r="H172" s="17" t="n">
        <v>1</v>
      </c>
      <c r="I172" s="18"/>
      <c r="J172" s="15" t="n">
        <f aca="false">IF(AND(H172=1,N(I172)&gt;0),1,0)</f>
        <v>0</v>
      </c>
      <c r="K172" s="15" t="str">
        <f aca="false">IF(J172=1,SUMPRODUCT(($J$5:$J$312=1)*(N($I$5:$I$312)&gt;N(I172)))+1,"")</f>
        <v/>
      </c>
      <c r="L172" s="15" t="str">
        <f aca="false">IF(J172&lt;&gt;1,"",IF(K172&lt;=ROUND(SUM($J$5:$J$312)*0.2,0),"上位20%",IF(K172&lt;=ROUND(SUM($J$5:$J$312)*0.8,0),"中位60%","下位20%")))</f>
        <v/>
      </c>
      <c r="M172" s="15" t="str">
        <f aca="false">IF(F172="あり","◎","")</f>
        <v>◎</v>
      </c>
      <c r="N172" s="15" t="str">
        <f aca="false">IF(OR(LEFT(G172,1)="A",LEFT(G172,1)="B"),"◎","")</f>
        <v/>
      </c>
      <c r="O172" s="19"/>
      <c r="P172" s="19"/>
      <c r="Q172" s="19"/>
      <c r="R172" s="19"/>
      <c r="S172" s="19"/>
      <c r="T172" s="19"/>
      <c r="U172" s="19"/>
      <c r="V172" s="19"/>
      <c r="W172" s="15" t="str">
        <f aca="false">IF((N(Q172)+N(R172)+N(S172)+N(T172)+N(U172)+N(V172))=0,"",IF(AND((N(Q172)+N(R172)+N(T172))&gt;=2,(N(Q172)+N(R172)+N(S172)+N(T172)+N(U172)+N(V172))&gt;=4),"高",IF(AND((N(Q172)+N(R172)+N(T172))&gt;=1,(N(Q172)+N(R172)+N(S172)+N(T172)+N(U172)+N(V172))=3),"中","低")))</f>
        <v/>
      </c>
      <c r="X172" s="15" t="str">
        <f aca="false">IF(L172="中位60%",IF(W172="高",3,IF(W172="中",2,IF(W172="低",1,0)))+IF(M172="◎",1,0)+IF(N172="◎",1,0)+IF(O172="○",1,0)+IF(P172="○",1,0),"")</f>
        <v/>
      </c>
      <c r="Y172" s="20"/>
      <c r="Z172" s="18"/>
      <c r="AA172" s="20"/>
      <c r="AB172" s="20"/>
    </row>
    <row r="173" customFormat="false" ht="15" hidden="false" customHeight="false" outlineLevel="0" collapsed="false">
      <c r="A173" s="13" t="s">
        <v>423</v>
      </c>
      <c r="B173" s="14" t="s">
        <v>424</v>
      </c>
      <c r="C173" s="15" t="s">
        <v>406</v>
      </c>
      <c r="D173" s="15" t="n">
        <v>12</v>
      </c>
      <c r="E173" s="14" t="s">
        <v>79</v>
      </c>
      <c r="F173" s="15" t="s">
        <v>63</v>
      </c>
      <c r="G173" s="16" t="s">
        <v>88</v>
      </c>
      <c r="H173" s="17" t="n">
        <v>1</v>
      </c>
      <c r="I173" s="18"/>
      <c r="J173" s="15" t="n">
        <f aca="false">IF(AND(H173=1,N(I173)&gt;0),1,0)</f>
        <v>0</v>
      </c>
      <c r="K173" s="15" t="str">
        <f aca="false">IF(J173=1,SUMPRODUCT(($J$5:$J$312=1)*(N($I$5:$I$312)&gt;N(I173)))+1,"")</f>
        <v/>
      </c>
      <c r="L173" s="15" t="str">
        <f aca="false">IF(J173&lt;&gt;1,"",IF(K173&lt;=ROUND(SUM($J$5:$J$312)*0.2,0),"上位20%",IF(K173&lt;=ROUND(SUM($J$5:$J$312)*0.8,0),"中位60%","下位20%")))</f>
        <v/>
      </c>
      <c r="M173" s="15" t="str">
        <f aca="false">IF(F173="あり","◎","")</f>
        <v>◎</v>
      </c>
      <c r="N173" s="15" t="str">
        <f aca="false">IF(OR(LEFT(G173,1)="A",LEFT(G173,1)="B"),"◎","")</f>
        <v/>
      </c>
      <c r="O173" s="19"/>
      <c r="P173" s="19"/>
      <c r="Q173" s="19"/>
      <c r="R173" s="19"/>
      <c r="S173" s="19"/>
      <c r="T173" s="19"/>
      <c r="U173" s="19"/>
      <c r="V173" s="19"/>
      <c r="W173" s="15" t="str">
        <f aca="false">IF((N(Q173)+N(R173)+N(S173)+N(T173)+N(U173)+N(V173))=0,"",IF(AND((N(Q173)+N(R173)+N(T173))&gt;=2,(N(Q173)+N(R173)+N(S173)+N(T173)+N(U173)+N(V173))&gt;=4),"高",IF(AND((N(Q173)+N(R173)+N(T173))&gt;=1,(N(Q173)+N(R173)+N(S173)+N(T173)+N(U173)+N(V173))=3),"中","低")))</f>
        <v/>
      </c>
      <c r="X173" s="15" t="str">
        <f aca="false">IF(L173="中位60%",IF(W173="高",3,IF(W173="中",2,IF(W173="低",1,0)))+IF(M173="◎",1,0)+IF(N173="◎",1,0)+IF(O173="○",1,0)+IF(P173="○",1,0),"")</f>
        <v/>
      </c>
      <c r="Y173" s="20"/>
      <c r="Z173" s="18"/>
      <c r="AA173" s="20"/>
      <c r="AB173" s="20"/>
    </row>
    <row r="174" customFormat="false" ht="15" hidden="false" customHeight="false" outlineLevel="0" collapsed="false">
      <c r="A174" s="13" t="s">
        <v>425</v>
      </c>
      <c r="B174" s="14" t="s">
        <v>426</v>
      </c>
      <c r="C174" s="15" t="s">
        <v>406</v>
      </c>
      <c r="D174" s="15" t="n">
        <v>12</v>
      </c>
      <c r="E174" s="14" t="s">
        <v>101</v>
      </c>
      <c r="F174" s="15" t="s">
        <v>63</v>
      </c>
      <c r="G174" s="16" t="s">
        <v>88</v>
      </c>
      <c r="H174" s="17" t="n">
        <v>1</v>
      </c>
      <c r="I174" s="18"/>
      <c r="J174" s="15" t="n">
        <f aca="false">IF(AND(H174=1,N(I174)&gt;0),1,0)</f>
        <v>0</v>
      </c>
      <c r="K174" s="15" t="str">
        <f aca="false">IF(J174=1,SUMPRODUCT(($J$5:$J$312=1)*(N($I$5:$I$312)&gt;N(I174)))+1,"")</f>
        <v/>
      </c>
      <c r="L174" s="15" t="str">
        <f aca="false">IF(J174&lt;&gt;1,"",IF(K174&lt;=ROUND(SUM($J$5:$J$312)*0.2,0),"上位20%",IF(K174&lt;=ROUND(SUM($J$5:$J$312)*0.8,0),"中位60%","下位20%")))</f>
        <v/>
      </c>
      <c r="M174" s="15" t="str">
        <f aca="false">IF(F174="あり","◎","")</f>
        <v>◎</v>
      </c>
      <c r="N174" s="15" t="str">
        <f aca="false">IF(OR(LEFT(G174,1)="A",LEFT(G174,1)="B"),"◎","")</f>
        <v/>
      </c>
      <c r="O174" s="19"/>
      <c r="P174" s="19"/>
      <c r="Q174" s="19"/>
      <c r="R174" s="19"/>
      <c r="S174" s="19"/>
      <c r="T174" s="19"/>
      <c r="U174" s="19"/>
      <c r="V174" s="19"/>
      <c r="W174" s="15" t="str">
        <f aca="false">IF((N(Q174)+N(R174)+N(S174)+N(T174)+N(U174)+N(V174))=0,"",IF(AND((N(Q174)+N(R174)+N(T174))&gt;=2,(N(Q174)+N(R174)+N(S174)+N(T174)+N(U174)+N(V174))&gt;=4),"高",IF(AND((N(Q174)+N(R174)+N(T174))&gt;=1,(N(Q174)+N(R174)+N(S174)+N(T174)+N(U174)+N(V174))=3),"中","低")))</f>
        <v/>
      </c>
      <c r="X174" s="15" t="str">
        <f aca="false">IF(L174="中位60%",IF(W174="高",3,IF(W174="中",2,IF(W174="低",1,0)))+IF(M174="◎",1,0)+IF(N174="◎",1,0)+IF(O174="○",1,0)+IF(P174="○",1,0),"")</f>
        <v/>
      </c>
      <c r="Y174" s="20"/>
      <c r="Z174" s="18"/>
      <c r="AA174" s="20"/>
      <c r="AB174" s="20"/>
    </row>
    <row r="175" customFormat="false" ht="15" hidden="false" customHeight="false" outlineLevel="0" collapsed="false">
      <c r="A175" s="13" t="s">
        <v>427</v>
      </c>
      <c r="B175" s="14" t="s">
        <v>428</v>
      </c>
      <c r="C175" s="15" t="s">
        <v>406</v>
      </c>
      <c r="D175" s="15" t="n">
        <v>12</v>
      </c>
      <c r="E175" s="14" t="s">
        <v>94</v>
      </c>
      <c r="F175" s="15" t="s">
        <v>63</v>
      </c>
      <c r="G175" s="16" t="s">
        <v>76</v>
      </c>
      <c r="H175" s="17" t="n">
        <v>1</v>
      </c>
      <c r="I175" s="18"/>
      <c r="J175" s="15" t="n">
        <f aca="false">IF(AND(H175=1,N(I175)&gt;0),1,0)</f>
        <v>0</v>
      </c>
      <c r="K175" s="15" t="str">
        <f aca="false">IF(J175=1,SUMPRODUCT(($J$5:$J$312=1)*(N($I$5:$I$312)&gt;N(I175)))+1,"")</f>
        <v/>
      </c>
      <c r="L175" s="15" t="str">
        <f aca="false">IF(J175&lt;&gt;1,"",IF(K175&lt;=ROUND(SUM($J$5:$J$312)*0.2,0),"上位20%",IF(K175&lt;=ROUND(SUM($J$5:$J$312)*0.8,0),"中位60%","下位20%")))</f>
        <v/>
      </c>
      <c r="M175" s="15" t="str">
        <f aca="false">IF(F175="あり","◎","")</f>
        <v>◎</v>
      </c>
      <c r="N175" s="15" t="str">
        <f aca="false">IF(OR(LEFT(G175,1)="A",LEFT(G175,1)="B"),"◎","")</f>
        <v>◎</v>
      </c>
      <c r="O175" s="19"/>
      <c r="P175" s="19"/>
      <c r="Q175" s="19"/>
      <c r="R175" s="19"/>
      <c r="S175" s="19"/>
      <c r="T175" s="19"/>
      <c r="U175" s="19"/>
      <c r="V175" s="19"/>
      <c r="W175" s="15" t="str">
        <f aca="false">IF((N(Q175)+N(R175)+N(S175)+N(T175)+N(U175)+N(V175))=0,"",IF(AND((N(Q175)+N(R175)+N(T175))&gt;=2,(N(Q175)+N(R175)+N(S175)+N(T175)+N(U175)+N(V175))&gt;=4),"高",IF(AND((N(Q175)+N(R175)+N(T175))&gt;=1,(N(Q175)+N(R175)+N(S175)+N(T175)+N(U175)+N(V175))=3),"中","低")))</f>
        <v/>
      </c>
      <c r="X175" s="15" t="str">
        <f aca="false">IF(L175="中位60%",IF(W175="高",3,IF(W175="中",2,IF(W175="低",1,0)))+IF(M175="◎",1,0)+IF(N175="◎",1,0)+IF(O175="○",1,0)+IF(P175="○",1,0),"")</f>
        <v/>
      </c>
      <c r="Y175" s="20"/>
      <c r="Z175" s="18"/>
      <c r="AA175" s="20"/>
      <c r="AB175" s="20"/>
    </row>
    <row r="176" customFormat="false" ht="15" hidden="false" customHeight="false" outlineLevel="0" collapsed="false">
      <c r="A176" s="13" t="s">
        <v>429</v>
      </c>
      <c r="B176" s="14" t="s">
        <v>430</v>
      </c>
      <c r="C176" s="15" t="s">
        <v>406</v>
      </c>
      <c r="D176" s="15" t="n">
        <v>12</v>
      </c>
      <c r="E176" s="14" t="s">
        <v>117</v>
      </c>
      <c r="F176" s="15" t="s">
        <v>80</v>
      </c>
      <c r="G176" s="14"/>
      <c r="H176" s="17" t="n">
        <v>1</v>
      </c>
      <c r="I176" s="18"/>
      <c r="J176" s="15" t="n">
        <f aca="false">IF(AND(H176=1,N(I176)&gt;0),1,0)</f>
        <v>0</v>
      </c>
      <c r="K176" s="15" t="str">
        <f aca="false">IF(J176=1,SUMPRODUCT(($J$5:$J$312=1)*(N($I$5:$I$312)&gt;N(I176)))+1,"")</f>
        <v/>
      </c>
      <c r="L176" s="15" t="str">
        <f aca="false">IF(J176&lt;&gt;1,"",IF(K176&lt;=ROUND(SUM($J$5:$J$312)*0.2,0),"上位20%",IF(K176&lt;=ROUND(SUM($J$5:$J$312)*0.8,0),"中位60%","下位20%")))</f>
        <v/>
      </c>
      <c r="M176" s="15" t="str">
        <f aca="false">IF(F176="あり","◎","")</f>
        <v/>
      </c>
      <c r="N176" s="15" t="str">
        <f aca="false">IF(OR(LEFT(G176,1)="A",LEFT(G176,1)="B"),"◎","")</f>
        <v/>
      </c>
      <c r="O176" s="19"/>
      <c r="P176" s="19"/>
      <c r="Q176" s="19"/>
      <c r="R176" s="19"/>
      <c r="S176" s="19"/>
      <c r="T176" s="19"/>
      <c r="U176" s="19"/>
      <c r="V176" s="19"/>
      <c r="W176" s="15" t="str">
        <f aca="false">IF((N(Q176)+N(R176)+N(S176)+N(T176)+N(U176)+N(V176))=0,"",IF(AND((N(Q176)+N(R176)+N(T176))&gt;=2,(N(Q176)+N(R176)+N(S176)+N(T176)+N(U176)+N(V176))&gt;=4),"高",IF(AND((N(Q176)+N(R176)+N(T176))&gt;=1,(N(Q176)+N(R176)+N(S176)+N(T176)+N(U176)+N(V176))=3),"中","低")))</f>
        <v/>
      </c>
      <c r="X176" s="15" t="str">
        <f aca="false">IF(L176="中位60%",IF(W176="高",3,IF(W176="中",2,IF(W176="低",1,0)))+IF(M176="◎",1,0)+IF(N176="◎",1,0)+IF(O176="○",1,0)+IF(P176="○",1,0),"")</f>
        <v/>
      </c>
      <c r="Y176" s="20"/>
      <c r="Z176" s="18"/>
      <c r="AA176" s="20"/>
      <c r="AB176" s="20"/>
    </row>
    <row r="177" customFormat="false" ht="15" hidden="false" customHeight="false" outlineLevel="0" collapsed="false">
      <c r="A177" s="13" t="s">
        <v>431</v>
      </c>
      <c r="B177" s="14" t="s">
        <v>432</v>
      </c>
      <c r="C177" s="15" t="s">
        <v>406</v>
      </c>
      <c r="D177" s="15" t="n">
        <v>12</v>
      </c>
      <c r="E177" s="14" t="s">
        <v>101</v>
      </c>
      <c r="F177" s="15" t="s">
        <v>63</v>
      </c>
      <c r="G177" s="16" t="s">
        <v>88</v>
      </c>
      <c r="H177" s="17" t="n">
        <v>1</v>
      </c>
      <c r="I177" s="18"/>
      <c r="J177" s="15" t="n">
        <f aca="false">IF(AND(H177=1,N(I177)&gt;0),1,0)</f>
        <v>0</v>
      </c>
      <c r="K177" s="15" t="str">
        <f aca="false">IF(J177=1,SUMPRODUCT(($J$5:$J$312=1)*(N($I$5:$I$312)&gt;N(I177)))+1,"")</f>
        <v/>
      </c>
      <c r="L177" s="15" t="str">
        <f aca="false">IF(J177&lt;&gt;1,"",IF(K177&lt;=ROUND(SUM($J$5:$J$312)*0.2,0),"上位20%",IF(K177&lt;=ROUND(SUM($J$5:$J$312)*0.8,0),"中位60%","下位20%")))</f>
        <v/>
      </c>
      <c r="M177" s="15" t="str">
        <f aca="false">IF(F177="あり","◎","")</f>
        <v>◎</v>
      </c>
      <c r="N177" s="15" t="str">
        <f aca="false">IF(OR(LEFT(G177,1)="A",LEFT(G177,1)="B"),"◎","")</f>
        <v/>
      </c>
      <c r="O177" s="19"/>
      <c r="P177" s="19"/>
      <c r="Q177" s="19"/>
      <c r="R177" s="19"/>
      <c r="S177" s="19"/>
      <c r="T177" s="19"/>
      <c r="U177" s="19"/>
      <c r="V177" s="19"/>
      <c r="W177" s="15" t="str">
        <f aca="false">IF((N(Q177)+N(R177)+N(S177)+N(T177)+N(U177)+N(V177))=0,"",IF(AND((N(Q177)+N(R177)+N(T177))&gt;=2,(N(Q177)+N(R177)+N(S177)+N(T177)+N(U177)+N(V177))&gt;=4),"高",IF(AND((N(Q177)+N(R177)+N(T177))&gt;=1,(N(Q177)+N(R177)+N(S177)+N(T177)+N(U177)+N(V177))=3),"中","低")))</f>
        <v/>
      </c>
      <c r="X177" s="15" t="str">
        <f aca="false">IF(L177="中位60%",IF(W177="高",3,IF(W177="中",2,IF(W177="低",1,0)))+IF(M177="◎",1,0)+IF(N177="◎",1,0)+IF(O177="○",1,0)+IF(P177="○",1,0),"")</f>
        <v/>
      </c>
      <c r="Y177" s="20"/>
      <c r="Z177" s="18"/>
      <c r="AA177" s="20"/>
      <c r="AB177" s="20"/>
    </row>
    <row r="178" customFormat="false" ht="15" hidden="false" customHeight="false" outlineLevel="0" collapsed="false">
      <c r="A178" s="13" t="s">
        <v>433</v>
      </c>
      <c r="B178" s="14" t="s">
        <v>434</v>
      </c>
      <c r="C178" s="15" t="s">
        <v>406</v>
      </c>
      <c r="D178" s="15" t="n">
        <v>12</v>
      </c>
      <c r="E178" s="14" t="s">
        <v>117</v>
      </c>
      <c r="F178" s="15" t="s">
        <v>63</v>
      </c>
      <c r="G178" s="16" t="s">
        <v>88</v>
      </c>
      <c r="H178" s="17" t="n">
        <v>1</v>
      </c>
      <c r="I178" s="18"/>
      <c r="J178" s="15" t="n">
        <f aca="false">IF(AND(H178=1,N(I178)&gt;0),1,0)</f>
        <v>0</v>
      </c>
      <c r="K178" s="15" t="str">
        <f aca="false">IF(J178=1,SUMPRODUCT(($J$5:$J$312=1)*(N($I$5:$I$312)&gt;N(I178)))+1,"")</f>
        <v/>
      </c>
      <c r="L178" s="15" t="str">
        <f aca="false">IF(J178&lt;&gt;1,"",IF(K178&lt;=ROUND(SUM($J$5:$J$312)*0.2,0),"上位20%",IF(K178&lt;=ROUND(SUM($J$5:$J$312)*0.8,0),"中位60%","下位20%")))</f>
        <v/>
      </c>
      <c r="M178" s="15" t="str">
        <f aca="false">IF(F178="あり","◎","")</f>
        <v>◎</v>
      </c>
      <c r="N178" s="15" t="str">
        <f aca="false">IF(OR(LEFT(G178,1)="A",LEFT(G178,1)="B"),"◎","")</f>
        <v/>
      </c>
      <c r="O178" s="19"/>
      <c r="P178" s="19"/>
      <c r="Q178" s="19"/>
      <c r="R178" s="19"/>
      <c r="S178" s="19"/>
      <c r="T178" s="19"/>
      <c r="U178" s="19"/>
      <c r="V178" s="19"/>
      <c r="W178" s="15" t="str">
        <f aca="false">IF((N(Q178)+N(R178)+N(S178)+N(T178)+N(U178)+N(V178))=0,"",IF(AND((N(Q178)+N(R178)+N(T178))&gt;=2,(N(Q178)+N(R178)+N(S178)+N(T178)+N(U178)+N(V178))&gt;=4),"高",IF(AND((N(Q178)+N(R178)+N(T178))&gt;=1,(N(Q178)+N(R178)+N(S178)+N(T178)+N(U178)+N(V178))=3),"中","低")))</f>
        <v/>
      </c>
      <c r="X178" s="15" t="str">
        <f aca="false">IF(L178="中位60%",IF(W178="高",3,IF(W178="中",2,IF(W178="低",1,0)))+IF(M178="◎",1,0)+IF(N178="◎",1,0)+IF(O178="○",1,0)+IF(P178="○",1,0),"")</f>
        <v/>
      </c>
      <c r="Y178" s="20"/>
      <c r="Z178" s="18"/>
      <c r="AA178" s="20"/>
      <c r="AB178" s="20"/>
    </row>
    <row r="179" customFormat="false" ht="15" hidden="false" customHeight="false" outlineLevel="0" collapsed="false">
      <c r="A179" s="13" t="s">
        <v>435</v>
      </c>
      <c r="B179" s="14" t="s">
        <v>436</v>
      </c>
      <c r="C179" s="15" t="s">
        <v>406</v>
      </c>
      <c r="D179" s="15" t="n">
        <v>12</v>
      </c>
      <c r="E179" s="14" t="s">
        <v>117</v>
      </c>
      <c r="F179" s="15" t="s">
        <v>63</v>
      </c>
      <c r="G179" s="16" t="s">
        <v>88</v>
      </c>
      <c r="H179" s="17" t="n">
        <v>1</v>
      </c>
      <c r="I179" s="18"/>
      <c r="J179" s="15" t="n">
        <f aca="false">IF(AND(H179=1,N(I179)&gt;0),1,0)</f>
        <v>0</v>
      </c>
      <c r="K179" s="15" t="str">
        <f aca="false">IF(J179=1,SUMPRODUCT(($J$5:$J$312=1)*(N($I$5:$I$312)&gt;N(I179)))+1,"")</f>
        <v/>
      </c>
      <c r="L179" s="15" t="str">
        <f aca="false">IF(J179&lt;&gt;1,"",IF(K179&lt;=ROUND(SUM($J$5:$J$312)*0.2,0),"上位20%",IF(K179&lt;=ROUND(SUM($J$5:$J$312)*0.8,0),"中位60%","下位20%")))</f>
        <v/>
      </c>
      <c r="M179" s="15" t="str">
        <f aca="false">IF(F179="あり","◎","")</f>
        <v>◎</v>
      </c>
      <c r="N179" s="15" t="str">
        <f aca="false">IF(OR(LEFT(G179,1)="A",LEFT(G179,1)="B"),"◎","")</f>
        <v/>
      </c>
      <c r="O179" s="19"/>
      <c r="P179" s="19"/>
      <c r="Q179" s="19"/>
      <c r="R179" s="19"/>
      <c r="S179" s="19"/>
      <c r="T179" s="19"/>
      <c r="U179" s="19"/>
      <c r="V179" s="19"/>
      <c r="W179" s="15" t="str">
        <f aca="false">IF((N(Q179)+N(R179)+N(S179)+N(T179)+N(U179)+N(V179))=0,"",IF(AND((N(Q179)+N(R179)+N(T179))&gt;=2,(N(Q179)+N(R179)+N(S179)+N(T179)+N(U179)+N(V179))&gt;=4),"高",IF(AND((N(Q179)+N(R179)+N(T179))&gt;=1,(N(Q179)+N(R179)+N(S179)+N(T179)+N(U179)+N(V179))=3),"中","低")))</f>
        <v/>
      </c>
      <c r="X179" s="15" t="str">
        <f aca="false">IF(L179="中位60%",IF(W179="高",3,IF(W179="中",2,IF(W179="低",1,0)))+IF(M179="◎",1,0)+IF(N179="◎",1,0)+IF(O179="○",1,0)+IF(P179="○",1,0),"")</f>
        <v/>
      </c>
      <c r="Y179" s="20"/>
      <c r="Z179" s="18"/>
      <c r="AA179" s="20"/>
      <c r="AB179" s="20"/>
    </row>
    <row r="180" customFormat="false" ht="15" hidden="false" customHeight="false" outlineLevel="0" collapsed="false">
      <c r="A180" s="13" t="s">
        <v>437</v>
      </c>
      <c r="B180" s="14" t="s">
        <v>438</v>
      </c>
      <c r="C180" s="15" t="s">
        <v>406</v>
      </c>
      <c r="D180" s="15" t="n">
        <v>12</v>
      </c>
      <c r="E180" s="14" t="s">
        <v>222</v>
      </c>
      <c r="F180" s="15" t="s">
        <v>63</v>
      </c>
      <c r="G180" s="16" t="s">
        <v>88</v>
      </c>
      <c r="H180" s="17" t="n">
        <v>1</v>
      </c>
      <c r="I180" s="18"/>
      <c r="J180" s="15" t="n">
        <f aca="false">IF(AND(H180=1,N(I180)&gt;0),1,0)</f>
        <v>0</v>
      </c>
      <c r="K180" s="15" t="str">
        <f aca="false">IF(J180=1,SUMPRODUCT(($J$5:$J$312=1)*(N($I$5:$I$312)&gt;N(I180)))+1,"")</f>
        <v/>
      </c>
      <c r="L180" s="15" t="str">
        <f aca="false">IF(J180&lt;&gt;1,"",IF(K180&lt;=ROUND(SUM($J$5:$J$312)*0.2,0),"上位20%",IF(K180&lt;=ROUND(SUM($J$5:$J$312)*0.8,0),"中位60%","下位20%")))</f>
        <v/>
      </c>
      <c r="M180" s="15" t="str">
        <f aca="false">IF(F180="あり","◎","")</f>
        <v>◎</v>
      </c>
      <c r="N180" s="15" t="str">
        <f aca="false">IF(OR(LEFT(G180,1)="A",LEFT(G180,1)="B"),"◎","")</f>
        <v/>
      </c>
      <c r="O180" s="19"/>
      <c r="P180" s="19"/>
      <c r="Q180" s="19"/>
      <c r="R180" s="19"/>
      <c r="S180" s="19"/>
      <c r="T180" s="19"/>
      <c r="U180" s="19"/>
      <c r="V180" s="19"/>
      <c r="W180" s="15" t="str">
        <f aca="false">IF((N(Q180)+N(R180)+N(S180)+N(T180)+N(U180)+N(V180))=0,"",IF(AND((N(Q180)+N(R180)+N(T180))&gt;=2,(N(Q180)+N(R180)+N(S180)+N(T180)+N(U180)+N(V180))&gt;=4),"高",IF(AND((N(Q180)+N(R180)+N(T180))&gt;=1,(N(Q180)+N(R180)+N(S180)+N(T180)+N(U180)+N(V180))=3),"中","低")))</f>
        <v/>
      </c>
      <c r="X180" s="15" t="str">
        <f aca="false">IF(L180="中位60%",IF(W180="高",3,IF(W180="中",2,IF(W180="低",1,0)))+IF(M180="◎",1,0)+IF(N180="◎",1,0)+IF(O180="○",1,0)+IF(P180="○",1,0),"")</f>
        <v/>
      </c>
      <c r="Y180" s="20"/>
      <c r="Z180" s="18"/>
      <c r="AA180" s="20"/>
      <c r="AB180" s="20"/>
    </row>
    <row r="181" customFormat="false" ht="15" hidden="false" customHeight="false" outlineLevel="0" collapsed="false">
      <c r="A181" s="13" t="s">
        <v>439</v>
      </c>
      <c r="B181" s="14" t="s">
        <v>440</v>
      </c>
      <c r="C181" s="15" t="s">
        <v>406</v>
      </c>
      <c r="D181" s="15" t="n">
        <v>12</v>
      </c>
      <c r="E181" s="14" t="s">
        <v>117</v>
      </c>
      <c r="F181" s="15" t="s">
        <v>63</v>
      </c>
      <c r="G181" s="16" t="s">
        <v>88</v>
      </c>
      <c r="H181" s="17" t="n">
        <v>1</v>
      </c>
      <c r="I181" s="18"/>
      <c r="J181" s="15" t="n">
        <f aca="false">IF(AND(H181=1,N(I181)&gt;0),1,0)</f>
        <v>0</v>
      </c>
      <c r="K181" s="15" t="str">
        <f aca="false">IF(J181=1,SUMPRODUCT(($J$5:$J$312=1)*(N($I$5:$I$312)&gt;N(I181)))+1,"")</f>
        <v/>
      </c>
      <c r="L181" s="15" t="str">
        <f aca="false">IF(J181&lt;&gt;1,"",IF(K181&lt;=ROUND(SUM($J$5:$J$312)*0.2,0),"上位20%",IF(K181&lt;=ROUND(SUM($J$5:$J$312)*0.8,0),"中位60%","下位20%")))</f>
        <v/>
      </c>
      <c r="M181" s="15" t="str">
        <f aca="false">IF(F181="あり","◎","")</f>
        <v>◎</v>
      </c>
      <c r="N181" s="15" t="str">
        <f aca="false">IF(OR(LEFT(G181,1)="A",LEFT(G181,1)="B"),"◎","")</f>
        <v/>
      </c>
      <c r="O181" s="19"/>
      <c r="P181" s="19"/>
      <c r="Q181" s="19"/>
      <c r="R181" s="19"/>
      <c r="S181" s="19"/>
      <c r="T181" s="19"/>
      <c r="U181" s="19"/>
      <c r="V181" s="19"/>
      <c r="W181" s="15" t="str">
        <f aca="false">IF((N(Q181)+N(R181)+N(S181)+N(T181)+N(U181)+N(V181))=0,"",IF(AND((N(Q181)+N(R181)+N(T181))&gt;=2,(N(Q181)+N(R181)+N(S181)+N(T181)+N(U181)+N(V181))&gt;=4),"高",IF(AND((N(Q181)+N(R181)+N(T181))&gt;=1,(N(Q181)+N(R181)+N(S181)+N(T181)+N(U181)+N(V181))=3),"中","低")))</f>
        <v/>
      </c>
      <c r="X181" s="15" t="str">
        <f aca="false">IF(L181="中位60%",IF(W181="高",3,IF(W181="中",2,IF(W181="低",1,0)))+IF(M181="◎",1,0)+IF(N181="◎",1,0)+IF(O181="○",1,0)+IF(P181="○",1,0),"")</f>
        <v/>
      </c>
      <c r="Y181" s="20"/>
      <c r="Z181" s="18"/>
      <c r="AA181" s="20"/>
      <c r="AB181" s="20"/>
    </row>
    <row r="182" customFormat="false" ht="15" hidden="false" customHeight="false" outlineLevel="0" collapsed="false">
      <c r="A182" s="13" t="s">
        <v>441</v>
      </c>
      <c r="B182" s="14" t="s">
        <v>442</v>
      </c>
      <c r="C182" s="15" t="s">
        <v>406</v>
      </c>
      <c r="D182" s="15" t="n">
        <v>12</v>
      </c>
      <c r="E182" s="14"/>
      <c r="F182" s="15" t="s">
        <v>80</v>
      </c>
      <c r="G182" s="14"/>
      <c r="H182" s="17" t="n">
        <v>1</v>
      </c>
      <c r="I182" s="18"/>
      <c r="J182" s="15" t="n">
        <f aca="false">IF(AND(H182=1,N(I182)&gt;0),1,0)</f>
        <v>0</v>
      </c>
      <c r="K182" s="15" t="str">
        <f aca="false">IF(J182=1,SUMPRODUCT(($J$5:$J$312=1)*(N($I$5:$I$312)&gt;N(I182)))+1,"")</f>
        <v/>
      </c>
      <c r="L182" s="15" t="str">
        <f aca="false">IF(J182&lt;&gt;1,"",IF(K182&lt;=ROUND(SUM($J$5:$J$312)*0.2,0),"上位20%",IF(K182&lt;=ROUND(SUM($J$5:$J$312)*0.8,0),"中位60%","下位20%")))</f>
        <v/>
      </c>
      <c r="M182" s="15" t="str">
        <f aca="false">IF(F182="あり","◎","")</f>
        <v/>
      </c>
      <c r="N182" s="15" t="str">
        <f aca="false">IF(OR(LEFT(G182,1)="A",LEFT(G182,1)="B"),"◎","")</f>
        <v/>
      </c>
      <c r="O182" s="19"/>
      <c r="P182" s="19"/>
      <c r="Q182" s="19"/>
      <c r="R182" s="19"/>
      <c r="S182" s="19"/>
      <c r="T182" s="19"/>
      <c r="U182" s="19"/>
      <c r="V182" s="19"/>
      <c r="W182" s="15" t="str">
        <f aca="false">IF((N(Q182)+N(R182)+N(S182)+N(T182)+N(U182)+N(V182))=0,"",IF(AND((N(Q182)+N(R182)+N(T182))&gt;=2,(N(Q182)+N(R182)+N(S182)+N(T182)+N(U182)+N(V182))&gt;=4),"高",IF(AND((N(Q182)+N(R182)+N(T182))&gt;=1,(N(Q182)+N(R182)+N(S182)+N(T182)+N(U182)+N(V182))=3),"中","低")))</f>
        <v/>
      </c>
      <c r="X182" s="15" t="str">
        <f aca="false">IF(L182="中位60%",IF(W182="高",3,IF(W182="中",2,IF(W182="低",1,0)))+IF(M182="◎",1,0)+IF(N182="◎",1,0)+IF(O182="○",1,0)+IF(P182="○",1,0),"")</f>
        <v/>
      </c>
      <c r="Y182" s="20"/>
      <c r="Z182" s="18"/>
      <c r="AA182" s="20"/>
      <c r="AB182" s="20"/>
    </row>
    <row r="183" customFormat="false" ht="15" hidden="false" customHeight="false" outlineLevel="0" collapsed="false">
      <c r="A183" s="13" t="s">
        <v>443</v>
      </c>
      <c r="B183" s="14" t="s">
        <v>444</v>
      </c>
      <c r="C183" s="15" t="s">
        <v>406</v>
      </c>
      <c r="D183" s="15" t="n">
        <v>12</v>
      </c>
      <c r="E183" s="14" t="s">
        <v>83</v>
      </c>
      <c r="F183" s="15" t="s">
        <v>63</v>
      </c>
      <c r="G183" s="16" t="s">
        <v>88</v>
      </c>
      <c r="H183" s="17" t="n">
        <v>1</v>
      </c>
      <c r="I183" s="18"/>
      <c r="J183" s="15" t="n">
        <f aca="false">IF(AND(H183=1,N(I183)&gt;0),1,0)</f>
        <v>0</v>
      </c>
      <c r="K183" s="15" t="str">
        <f aca="false">IF(J183=1,SUMPRODUCT(($J$5:$J$312=1)*(N($I$5:$I$312)&gt;N(I183)))+1,"")</f>
        <v/>
      </c>
      <c r="L183" s="15" t="str">
        <f aca="false">IF(J183&lt;&gt;1,"",IF(K183&lt;=ROUND(SUM($J$5:$J$312)*0.2,0),"上位20%",IF(K183&lt;=ROUND(SUM($J$5:$J$312)*0.8,0),"中位60%","下位20%")))</f>
        <v/>
      </c>
      <c r="M183" s="15" t="str">
        <f aca="false">IF(F183="あり","◎","")</f>
        <v>◎</v>
      </c>
      <c r="N183" s="15" t="str">
        <f aca="false">IF(OR(LEFT(G183,1)="A",LEFT(G183,1)="B"),"◎","")</f>
        <v/>
      </c>
      <c r="O183" s="19"/>
      <c r="P183" s="19"/>
      <c r="Q183" s="19"/>
      <c r="R183" s="19"/>
      <c r="S183" s="19"/>
      <c r="T183" s="19"/>
      <c r="U183" s="19"/>
      <c r="V183" s="19"/>
      <c r="W183" s="15" t="str">
        <f aca="false">IF((N(Q183)+N(R183)+N(S183)+N(T183)+N(U183)+N(V183))=0,"",IF(AND((N(Q183)+N(R183)+N(T183))&gt;=2,(N(Q183)+N(R183)+N(S183)+N(T183)+N(U183)+N(V183))&gt;=4),"高",IF(AND((N(Q183)+N(R183)+N(T183))&gt;=1,(N(Q183)+N(R183)+N(S183)+N(T183)+N(U183)+N(V183))=3),"中","低")))</f>
        <v/>
      </c>
      <c r="X183" s="15" t="str">
        <f aca="false">IF(L183="中位60%",IF(W183="高",3,IF(W183="中",2,IF(W183="低",1,0)))+IF(M183="◎",1,0)+IF(N183="◎",1,0)+IF(O183="○",1,0)+IF(P183="○",1,0),"")</f>
        <v/>
      </c>
      <c r="Y183" s="20"/>
      <c r="Z183" s="18"/>
      <c r="AA183" s="20"/>
      <c r="AB183" s="20"/>
    </row>
    <row r="184" customFormat="false" ht="15" hidden="false" customHeight="false" outlineLevel="0" collapsed="false">
      <c r="A184" s="13" t="s">
        <v>445</v>
      </c>
      <c r="B184" s="14" t="s">
        <v>446</v>
      </c>
      <c r="C184" s="15" t="s">
        <v>406</v>
      </c>
      <c r="D184" s="15" t="n">
        <v>12</v>
      </c>
      <c r="E184" s="14" t="s">
        <v>79</v>
      </c>
      <c r="F184" s="15" t="s">
        <v>63</v>
      </c>
      <c r="G184" s="14"/>
      <c r="H184" s="17" t="n">
        <v>1</v>
      </c>
      <c r="I184" s="18"/>
      <c r="J184" s="15" t="n">
        <f aca="false">IF(AND(H184=1,N(I184)&gt;0),1,0)</f>
        <v>0</v>
      </c>
      <c r="K184" s="15" t="str">
        <f aca="false">IF(J184=1,SUMPRODUCT(($J$5:$J$312=1)*(N($I$5:$I$312)&gt;N(I184)))+1,"")</f>
        <v/>
      </c>
      <c r="L184" s="15" t="str">
        <f aca="false">IF(J184&lt;&gt;1,"",IF(K184&lt;=ROUND(SUM($J$5:$J$312)*0.2,0),"上位20%",IF(K184&lt;=ROUND(SUM($J$5:$J$312)*0.8,0),"中位60%","下位20%")))</f>
        <v/>
      </c>
      <c r="M184" s="15" t="str">
        <f aca="false">IF(F184="あり","◎","")</f>
        <v>◎</v>
      </c>
      <c r="N184" s="15" t="str">
        <f aca="false">IF(OR(LEFT(G184,1)="A",LEFT(G184,1)="B"),"◎","")</f>
        <v/>
      </c>
      <c r="O184" s="19"/>
      <c r="P184" s="19"/>
      <c r="Q184" s="19"/>
      <c r="R184" s="19"/>
      <c r="S184" s="19"/>
      <c r="T184" s="19"/>
      <c r="U184" s="19"/>
      <c r="V184" s="19"/>
      <c r="W184" s="15" t="str">
        <f aca="false">IF((N(Q184)+N(R184)+N(S184)+N(T184)+N(U184)+N(V184))=0,"",IF(AND((N(Q184)+N(R184)+N(T184))&gt;=2,(N(Q184)+N(R184)+N(S184)+N(T184)+N(U184)+N(V184))&gt;=4),"高",IF(AND((N(Q184)+N(R184)+N(T184))&gt;=1,(N(Q184)+N(R184)+N(S184)+N(T184)+N(U184)+N(V184))=3),"中","低")))</f>
        <v/>
      </c>
      <c r="X184" s="15" t="str">
        <f aca="false">IF(L184="中位60%",IF(W184="高",3,IF(W184="中",2,IF(W184="低",1,0)))+IF(M184="◎",1,0)+IF(N184="◎",1,0)+IF(O184="○",1,0)+IF(P184="○",1,0),"")</f>
        <v/>
      </c>
      <c r="Y184" s="20"/>
      <c r="Z184" s="18"/>
      <c r="AA184" s="20"/>
      <c r="AB184" s="20"/>
    </row>
    <row r="185" customFormat="false" ht="15" hidden="false" customHeight="false" outlineLevel="0" collapsed="false">
      <c r="A185" s="13" t="s">
        <v>447</v>
      </c>
      <c r="B185" s="14" t="s">
        <v>448</v>
      </c>
      <c r="C185" s="15" t="s">
        <v>406</v>
      </c>
      <c r="D185" s="15" t="n">
        <v>12</v>
      </c>
      <c r="E185" s="14" t="s">
        <v>91</v>
      </c>
      <c r="F185" s="15" t="s">
        <v>63</v>
      </c>
      <c r="G185" s="14"/>
      <c r="H185" s="17" t="n">
        <v>1</v>
      </c>
      <c r="I185" s="18"/>
      <c r="J185" s="15" t="n">
        <f aca="false">IF(AND(H185=1,N(I185)&gt;0),1,0)</f>
        <v>0</v>
      </c>
      <c r="K185" s="15" t="str">
        <f aca="false">IF(J185=1,SUMPRODUCT(($J$5:$J$312=1)*(N($I$5:$I$312)&gt;N(I185)))+1,"")</f>
        <v/>
      </c>
      <c r="L185" s="15" t="str">
        <f aca="false">IF(J185&lt;&gt;1,"",IF(K185&lt;=ROUND(SUM($J$5:$J$312)*0.2,0),"上位20%",IF(K185&lt;=ROUND(SUM($J$5:$J$312)*0.8,0),"中位60%","下位20%")))</f>
        <v/>
      </c>
      <c r="M185" s="15" t="str">
        <f aca="false">IF(F185="あり","◎","")</f>
        <v>◎</v>
      </c>
      <c r="N185" s="15" t="str">
        <f aca="false">IF(OR(LEFT(G185,1)="A",LEFT(G185,1)="B"),"◎","")</f>
        <v/>
      </c>
      <c r="O185" s="19"/>
      <c r="P185" s="19"/>
      <c r="Q185" s="19"/>
      <c r="R185" s="19"/>
      <c r="S185" s="19"/>
      <c r="T185" s="19"/>
      <c r="U185" s="19"/>
      <c r="V185" s="19"/>
      <c r="W185" s="15" t="str">
        <f aca="false">IF((N(Q185)+N(R185)+N(S185)+N(T185)+N(U185)+N(V185))=0,"",IF(AND((N(Q185)+N(R185)+N(T185))&gt;=2,(N(Q185)+N(R185)+N(S185)+N(T185)+N(U185)+N(V185))&gt;=4),"高",IF(AND((N(Q185)+N(R185)+N(T185))&gt;=1,(N(Q185)+N(R185)+N(S185)+N(T185)+N(U185)+N(V185))=3),"中","低")))</f>
        <v/>
      </c>
      <c r="X185" s="15" t="str">
        <f aca="false">IF(L185="中位60%",IF(W185="高",3,IF(W185="中",2,IF(W185="低",1,0)))+IF(M185="◎",1,0)+IF(N185="◎",1,0)+IF(O185="○",1,0)+IF(P185="○",1,0),"")</f>
        <v/>
      </c>
      <c r="Y185" s="20"/>
      <c r="Z185" s="18"/>
      <c r="AA185" s="20"/>
      <c r="AB185" s="20"/>
    </row>
    <row r="186" customFormat="false" ht="15" hidden="false" customHeight="false" outlineLevel="0" collapsed="false">
      <c r="A186" s="13" t="s">
        <v>449</v>
      </c>
      <c r="B186" s="14" t="s">
        <v>450</v>
      </c>
      <c r="C186" s="15" t="s">
        <v>406</v>
      </c>
      <c r="D186" s="15" t="n">
        <v>12</v>
      </c>
      <c r="E186" s="14" t="s">
        <v>101</v>
      </c>
      <c r="F186" s="15" t="s">
        <v>63</v>
      </c>
      <c r="G186" s="16" t="s">
        <v>88</v>
      </c>
      <c r="H186" s="17" t="n">
        <v>1</v>
      </c>
      <c r="I186" s="18"/>
      <c r="J186" s="15" t="n">
        <f aca="false">IF(AND(H186=1,N(I186)&gt;0),1,0)</f>
        <v>0</v>
      </c>
      <c r="K186" s="15" t="str">
        <f aca="false">IF(J186=1,SUMPRODUCT(($J$5:$J$312=1)*(N($I$5:$I$312)&gt;N(I186)))+1,"")</f>
        <v/>
      </c>
      <c r="L186" s="15" t="str">
        <f aca="false">IF(J186&lt;&gt;1,"",IF(K186&lt;=ROUND(SUM($J$5:$J$312)*0.2,0),"上位20%",IF(K186&lt;=ROUND(SUM($J$5:$J$312)*0.8,0),"中位60%","下位20%")))</f>
        <v/>
      </c>
      <c r="M186" s="15" t="str">
        <f aca="false">IF(F186="あり","◎","")</f>
        <v>◎</v>
      </c>
      <c r="N186" s="15" t="str">
        <f aca="false">IF(OR(LEFT(G186,1)="A",LEFT(G186,1)="B"),"◎","")</f>
        <v/>
      </c>
      <c r="O186" s="19"/>
      <c r="P186" s="19"/>
      <c r="Q186" s="19"/>
      <c r="R186" s="19"/>
      <c r="S186" s="19"/>
      <c r="T186" s="19"/>
      <c r="U186" s="19"/>
      <c r="V186" s="19"/>
      <c r="W186" s="15" t="str">
        <f aca="false">IF((N(Q186)+N(R186)+N(S186)+N(T186)+N(U186)+N(V186))=0,"",IF(AND((N(Q186)+N(R186)+N(T186))&gt;=2,(N(Q186)+N(R186)+N(S186)+N(T186)+N(U186)+N(V186))&gt;=4),"高",IF(AND((N(Q186)+N(R186)+N(T186))&gt;=1,(N(Q186)+N(R186)+N(S186)+N(T186)+N(U186)+N(V186))=3),"中","低")))</f>
        <v/>
      </c>
      <c r="X186" s="15" t="str">
        <f aca="false">IF(L186="中位60%",IF(W186="高",3,IF(W186="中",2,IF(W186="低",1,0)))+IF(M186="◎",1,0)+IF(N186="◎",1,0)+IF(O186="○",1,0)+IF(P186="○",1,0),"")</f>
        <v/>
      </c>
      <c r="Y186" s="20"/>
      <c r="Z186" s="18"/>
      <c r="AA186" s="20"/>
      <c r="AB186" s="20"/>
    </row>
    <row r="187" customFormat="false" ht="15" hidden="false" customHeight="false" outlineLevel="0" collapsed="false">
      <c r="A187" s="13" t="s">
        <v>451</v>
      </c>
      <c r="B187" s="14" t="s">
        <v>452</v>
      </c>
      <c r="C187" s="15" t="s">
        <v>406</v>
      </c>
      <c r="D187" s="15" t="n">
        <v>12</v>
      </c>
      <c r="E187" s="14" t="s">
        <v>91</v>
      </c>
      <c r="F187" s="15" t="s">
        <v>63</v>
      </c>
      <c r="G187" s="16" t="s">
        <v>64</v>
      </c>
      <c r="H187" s="17" t="n">
        <v>1</v>
      </c>
      <c r="I187" s="18"/>
      <c r="J187" s="15" t="n">
        <f aca="false">IF(AND(H187=1,N(I187)&gt;0),1,0)</f>
        <v>0</v>
      </c>
      <c r="K187" s="15" t="str">
        <f aca="false">IF(J187=1,SUMPRODUCT(($J$5:$J$312=1)*(N($I$5:$I$312)&gt;N(I187)))+1,"")</f>
        <v/>
      </c>
      <c r="L187" s="15" t="str">
        <f aca="false">IF(J187&lt;&gt;1,"",IF(K187&lt;=ROUND(SUM($J$5:$J$312)*0.2,0),"上位20%",IF(K187&lt;=ROUND(SUM($J$5:$J$312)*0.8,0),"中位60%","下位20%")))</f>
        <v/>
      </c>
      <c r="M187" s="15" t="str">
        <f aca="false">IF(F187="あり","◎","")</f>
        <v>◎</v>
      </c>
      <c r="N187" s="15" t="str">
        <f aca="false">IF(OR(LEFT(G187,1)="A",LEFT(G187,1)="B"),"◎","")</f>
        <v/>
      </c>
      <c r="O187" s="19"/>
      <c r="P187" s="19"/>
      <c r="Q187" s="19"/>
      <c r="R187" s="19"/>
      <c r="S187" s="19"/>
      <c r="T187" s="19"/>
      <c r="U187" s="19"/>
      <c r="V187" s="19"/>
      <c r="W187" s="15" t="str">
        <f aca="false">IF((N(Q187)+N(R187)+N(S187)+N(T187)+N(U187)+N(V187))=0,"",IF(AND((N(Q187)+N(R187)+N(T187))&gt;=2,(N(Q187)+N(R187)+N(S187)+N(T187)+N(U187)+N(V187))&gt;=4),"高",IF(AND((N(Q187)+N(R187)+N(T187))&gt;=1,(N(Q187)+N(R187)+N(S187)+N(T187)+N(U187)+N(V187))=3),"中","低")))</f>
        <v/>
      </c>
      <c r="X187" s="15" t="str">
        <f aca="false">IF(L187="中位60%",IF(W187="高",3,IF(W187="中",2,IF(W187="低",1,0)))+IF(M187="◎",1,0)+IF(N187="◎",1,0)+IF(O187="○",1,0)+IF(P187="○",1,0),"")</f>
        <v/>
      </c>
      <c r="Y187" s="20"/>
      <c r="Z187" s="18"/>
      <c r="AA187" s="20"/>
      <c r="AB187" s="20"/>
    </row>
    <row r="188" customFormat="false" ht="15" hidden="false" customHeight="false" outlineLevel="0" collapsed="false">
      <c r="A188" s="13" t="s">
        <v>453</v>
      </c>
      <c r="B188" s="14" t="s">
        <v>454</v>
      </c>
      <c r="C188" s="15" t="s">
        <v>406</v>
      </c>
      <c r="D188" s="15" t="n">
        <v>12</v>
      </c>
      <c r="E188" s="14" t="s">
        <v>455</v>
      </c>
      <c r="F188" s="15" t="s">
        <v>63</v>
      </c>
      <c r="G188" s="16" t="s">
        <v>88</v>
      </c>
      <c r="H188" s="17" t="n">
        <v>1</v>
      </c>
      <c r="I188" s="18"/>
      <c r="J188" s="15" t="n">
        <f aca="false">IF(AND(H188=1,N(I188)&gt;0),1,0)</f>
        <v>0</v>
      </c>
      <c r="K188" s="15" t="str">
        <f aca="false">IF(J188=1,SUMPRODUCT(($J$5:$J$312=1)*(N($I$5:$I$312)&gt;N(I188)))+1,"")</f>
        <v/>
      </c>
      <c r="L188" s="15" t="str">
        <f aca="false">IF(J188&lt;&gt;1,"",IF(K188&lt;=ROUND(SUM($J$5:$J$312)*0.2,0),"上位20%",IF(K188&lt;=ROUND(SUM($J$5:$J$312)*0.8,0),"中位60%","下位20%")))</f>
        <v/>
      </c>
      <c r="M188" s="15" t="str">
        <f aca="false">IF(F188="あり","◎","")</f>
        <v>◎</v>
      </c>
      <c r="N188" s="15" t="str">
        <f aca="false">IF(OR(LEFT(G188,1)="A",LEFT(G188,1)="B"),"◎","")</f>
        <v/>
      </c>
      <c r="O188" s="19"/>
      <c r="P188" s="19"/>
      <c r="Q188" s="19"/>
      <c r="R188" s="19"/>
      <c r="S188" s="19"/>
      <c r="T188" s="19"/>
      <c r="U188" s="19"/>
      <c r="V188" s="19"/>
      <c r="W188" s="15" t="str">
        <f aca="false">IF((N(Q188)+N(R188)+N(S188)+N(T188)+N(U188)+N(V188))=0,"",IF(AND((N(Q188)+N(R188)+N(T188))&gt;=2,(N(Q188)+N(R188)+N(S188)+N(T188)+N(U188)+N(V188))&gt;=4),"高",IF(AND((N(Q188)+N(R188)+N(T188))&gt;=1,(N(Q188)+N(R188)+N(S188)+N(T188)+N(U188)+N(V188))=3),"中","低")))</f>
        <v/>
      </c>
      <c r="X188" s="15" t="str">
        <f aca="false">IF(L188="中位60%",IF(W188="高",3,IF(W188="中",2,IF(W188="低",1,0)))+IF(M188="◎",1,0)+IF(N188="◎",1,0)+IF(O188="○",1,0)+IF(P188="○",1,0),"")</f>
        <v/>
      </c>
      <c r="Y188" s="20"/>
      <c r="Z188" s="18"/>
      <c r="AA188" s="20"/>
      <c r="AB188" s="20"/>
    </row>
    <row r="189" customFormat="false" ht="15" hidden="false" customHeight="false" outlineLevel="0" collapsed="false">
      <c r="A189" s="13" t="s">
        <v>456</v>
      </c>
      <c r="B189" s="14" t="s">
        <v>457</v>
      </c>
      <c r="C189" s="15" t="s">
        <v>406</v>
      </c>
      <c r="D189" s="15" t="n">
        <v>12</v>
      </c>
      <c r="E189" s="14" t="s">
        <v>455</v>
      </c>
      <c r="F189" s="15" t="s">
        <v>63</v>
      </c>
      <c r="G189" s="16" t="s">
        <v>76</v>
      </c>
      <c r="H189" s="17" t="n">
        <v>1</v>
      </c>
      <c r="I189" s="18"/>
      <c r="J189" s="15" t="n">
        <f aca="false">IF(AND(H189=1,N(I189)&gt;0),1,0)</f>
        <v>0</v>
      </c>
      <c r="K189" s="15" t="str">
        <f aca="false">IF(J189=1,SUMPRODUCT(($J$5:$J$312=1)*(N($I$5:$I$312)&gt;N(I189)))+1,"")</f>
        <v/>
      </c>
      <c r="L189" s="15" t="str">
        <f aca="false">IF(J189&lt;&gt;1,"",IF(K189&lt;=ROUND(SUM($J$5:$J$312)*0.2,0),"上位20%",IF(K189&lt;=ROUND(SUM($J$5:$J$312)*0.8,0),"中位60%","下位20%")))</f>
        <v/>
      </c>
      <c r="M189" s="15" t="str">
        <f aca="false">IF(F189="あり","◎","")</f>
        <v>◎</v>
      </c>
      <c r="N189" s="15" t="str">
        <f aca="false">IF(OR(LEFT(G189,1)="A",LEFT(G189,1)="B"),"◎","")</f>
        <v>◎</v>
      </c>
      <c r="O189" s="19"/>
      <c r="P189" s="19"/>
      <c r="Q189" s="19"/>
      <c r="R189" s="19"/>
      <c r="S189" s="19"/>
      <c r="T189" s="19"/>
      <c r="U189" s="19"/>
      <c r="V189" s="19"/>
      <c r="W189" s="15" t="str">
        <f aca="false">IF((N(Q189)+N(R189)+N(S189)+N(T189)+N(U189)+N(V189))=0,"",IF(AND((N(Q189)+N(R189)+N(T189))&gt;=2,(N(Q189)+N(R189)+N(S189)+N(T189)+N(U189)+N(V189))&gt;=4),"高",IF(AND((N(Q189)+N(R189)+N(T189))&gt;=1,(N(Q189)+N(R189)+N(S189)+N(T189)+N(U189)+N(V189))=3),"中","低")))</f>
        <v/>
      </c>
      <c r="X189" s="15" t="str">
        <f aca="false">IF(L189="中位60%",IF(W189="高",3,IF(W189="中",2,IF(W189="低",1,0)))+IF(M189="◎",1,0)+IF(N189="◎",1,0)+IF(O189="○",1,0)+IF(P189="○",1,0),"")</f>
        <v/>
      </c>
      <c r="Y189" s="20"/>
      <c r="Z189" s="18"/>
      <c r="AA189" s="20"/>
      <c r="AB189" s="20"/>
    </row>
    <row r="190" customFormat="false" ht="15" hidden="false" customHeight="false" outlineLevel="0" collapsed="false">
      <c r="A190" s="13" t="s">
        <v>458</v>
      </c>
      <c r="B190" s="14" t="s">
        <v>459</v>
      </c>
      <c r="C190" s="15" t="s">
        <v>406</v>
      </c>
      <c r="D190" s="15" t="n">
        <v>12</v>
      </c>
      <c r="E190" s="14" t="s">
        <v>91</v>
      </c>
      <c r="F190" s="15" t="s">
        <v>63</v>
      </c>
      <c r="G190" s="14"/>
      <c r="H190" s="17" t="n">
        <v>1</v>
      </c>
      <c r="I190" s="18"/>
      <c r="J190" s="15" t="n">
        <f aca="false">IF(AND(H190=1,N(I190)&gt;0),1,0)</f>
        <v>0</v>
      </c>
      <c r="K190" s="15" t="str">
        <f aca="false">IF(J190=1,SUMPRODUCT(($J$5:$J$312=1)*(N($I$5:$I$312)&gt;N(I190)))+1,"")</f>
        <v/>
      </c>
      <c r="L190" s="15" t="str">
        <f aca="false">IF(J190&lt;&gt;1,"",IF(K190&lt;=ROUND(SUM($J$5:$J$312)*0.2,0),"上位20%",IF(K190&lt;=ROUND(SUM($J$5:$J$312)*0.8,0),"中位60%","下位20%")))</f>
        <v/>
      </c>
      <c r="M190" s="15" t="str">
        <f aca="false">IF(F190="あり","◎","")</f>
        <v>◎</v>
      </c>
      <c r="N190" s="15" t="str">
        <f aca="false">IF(OR(LEFT(G190,1)="A",LEFT(G190,1)="B"),"◎","")</f>
        <v/>
      </c>
      <c r="O190" s="19"/>
      <c r="P190" s="19"/>
      <c r="Q190" s="19"/>
      <c r="R190" s="19"/>
      <c r="S190" s="19"/>
      <c r="T190" s="19"/>
      <c r="U190" s="19"/>
      <c r="V190" s="19"/>
      <c r="W190" s="15" t="str">
        <f aca="false">IF((N(Q190)+N(R190)+N(S190)+N(T190)+N(U190)+N(V190))=0,"",IF(AND((N(Q190)+N(R190)+N(T190))&gt;=2,(N(Q190)+N(R190)+N(S190)+N(T190)+N(U190)+N(V190))&gt;=4),"高",IF(AND((N(Q190)+N(R190)+N(T190))&gt;=1,(N(Q190)+N(R190)+N(S190)+N(T190)+N(U190)+N(V190))=3),"中","低")))</f>
        <v/>
      </c>
      <c r="X190" s="15" t="str">
        <f aca="false">IF(L190="中位60%",IF(W190="高",3,IF(W190="中",2,IF(W190="低",1,0)))+IF(M190="◎",1,0)+IF(N190="◎",1,0)+IF(O190="○",1,0)+IF(P190="○",1,0),"")</f>
        <v/>
      </c>
      <c r="Y190" s="20"/>
      <c r="Z190" s="18"/>
      <c r="AA190" s="20"/>
      <c r="AB190" s="20"/>
    </row>
    <row r="191" customFormat="false" ht="15" hidden="false" customHeight="false" outlineLevel="0" collapsed="false">
      <c r="A191" s="13" t="s">
        <v>460</v>
      </c>
      <c r="B191" s="14" t="s">
        <v>461</v>
      </c>
      <c r="C191" s="15" t="s">
        <v>406</v>
      </c>
      <c r="D191" s="15" t="n">
        <v>12</v>
      </c>
      <c r="E191" s="14" t="s">
        <v>79</v>
      </c>
      <c r="F191" s="15" t="s">
        <v>63</v>
      </c>
      <c r="G191" s="14"/>
      <c r="H191" s="17" t="n">
        <v>1</v>
      </c>
      <c r="I191" s="18"/>
      <c r="J191" s="15" t="n">
        <f aca="false">IF(AND(H191=1,N(I191)&gt;0),1,0)</f>
        <v>0</v>
      </c>
      <c r="K191" s="15" t="str">
        <f aca="false">IF(J191=1,SUMPRODUCT(($J$5:$J$312=1)*(N($I$5:$I$312)&gt;N(I191)))+1,"")</f>
        <v/>
      </c>
      <c r="L191" s="15" t="str">
        <f aca="false">IF(J191&lt;&gt;1,"",IF(K191&lt;=ROUND(SUM($J$5:$J$312)*0.2,0),"上位20%",IF(K191&lt;=ROUND(SUM($J$5:$J$312)*0.8,0),"中位60%","下位20%")))</f>
        <v/>
      </c>
      <c r="M191" s="15" t="str">
        <f aca="false">IF(F191="あり","◎","")</f>
        <v>◎</v>
      </c>
      <c r="N191" s="15" t="str">
        <f aca="false">IF(OR(LEFT(G191,1)="A",LEFT(G191,1)="B"),"◎","")</f>
        <v/>
      </c>
      <c r="O191" s="19"/>
      <c r="P191" s="19"/>
      <c r="Q191" s="19"/>
      <c r="R191" s="19"/>
      <c r="S191" s="19"/>
      <c r="T191" s="19"/>
      <c r="U191" s="19"/>
      <c r="V191" s="19"/>
      <c r="W191" s="15" t="str">
        <f aca="false">IF((N(Q191)+N(R191)+N(S191)+N(T191)+N(U191)+N(V191))=0,"",IF(AND((N(Q191)+N(R191)+N(T191))&gt;=2,(N(Q191)+N(R191)+N(S191)+N(T191)+N(U191)+N(V191))&gt;=4),"高",IF(AND((N(Q191)+N(R191)+N(T191))&gt;=1,(N(Q191)+N(R191)+N(S191)+N(T191)+N(U191)+N(V191))=3),"中","低")))</f>
        <v/>
      </c>
      <c r="X191" s="15" t="str">
        <f aca="false">IF(L191="中位60%",IF(W191="高",3,IF(W191="中",2,IF(W191="低",1,0)))+IF(M191="◎",1,0)+IF(N191="◎",1,0)+IF(O191="○",1,0)+IF(P191="○",1,0),"")</f>
        <v/>
      </c>
      <c r="Y191" s="20"/>
      <c r="Z191" s="18"/>
      <c r="AA191" s="20"/>
      <c r="AB191" s="20"/>
    </row>
    <row r="192" customFormat="false" ht="15" hidden="false" customHeight="false" outlineLevel="0" collapsed="false">
      <c r="A192" s="13" t="s">
        <v>462</v>
      </c>
      <c r="B192" s="14" t="s">
        <v>463</v>
      </c>
      <c r="C192" s="15" t="s">
        <v>406</v>
      </c>
      <c r="D192" s="15" t="n">
        <v>12</v>
      </c>
      <c r="E192" s="14" t="s">
        <v>79</v>
      </c>
      <c r="F192" s="15" t="s">
        <v>63</v>
      </c>
      <c r="G192" s="16" t="s">
        <v>88</v>
      </c>
      <c r="H192" s="17" t="n">
        <v>1</v>
      </c>
      <c r="I192" s="18"/>
      <c r="J192" s="15" t="n">
        <f aca="false">IF(AND(H192=1,N(I192)&gt;0),1,0)</f>
        <v>0</v>
      </c>
      <c r="K192" s="15" t="str">
        <f aca="false">IF(J192=1,SUMPRODUCT(($J$5:$J$312=1)*(N($I$5:$I$312)&gt;N(I192)))+1,"")</f>
        <v/>
      </c>
      <c r="L192" s="15" t="str">
        <f aca="false">IF(J192&lt;&gt;1,"",IF(K192&lt;=ROUND(SUM($J$5:$J$312)*0.2,0),"上位20%",IF(K192&lt;=ROUND(SUM($J$5:$J$312)*0.8,0),"中位60%","下位20%")))</f>
        <v/>
      </c>
      <c r="M192" s="15" t="str">
        <f aca="false">IF(F192="あり","◎","")</f>
        <v>◎</v>
      </c>
      <c r="N192" s="15" t="str">
        <f aca="false">IF(OR(LEFT(G192,1)="A",LEFT(G192,1)="B"),"◎","")</f>
        <v/>
      </c>
      <c r="O192" s="19"/>
      <c r="P192" s="19"/>
      <c r="Q192" s="19"/>
      <c r="R192" s="19"/>
      <c r="S192" s="19"/>
      <c r="T192" s="19"/>
      <c r="U192" s="19"/>
      <c r="V192" s="19"/>
      <c r="W192" s="15" t="str">
        <f aca="false">IF((N(Q192)+N(R192)+N(S192)+N(T192)+N(U192)+N(V192))=0,"",IF(AND((N(Q192)+N(R192)+N(T192))&gt;=2,(N(Q192)+N(R192)+N(S192)+N(T192)+N(U192)+N(V192))&gt;=4),"高",IF(AND((N(Q192)+N(R192)+N(T192))&gt;=1,(N(Q192)+N(R192)+N(S192)+N(T192)+N(U192)+N(V192))=3),"中","低")))</f>
        <v/>
      </c>
      <c r="X192" s="15" t="str">
        <f aca="false">IF(L192="中位60%",IF(W192="高",3,IF(W192="中",2,IF(W192="低",1,0)))+IF(M192="◎",1,0)+IF(N192="◎",1,0)+IF(O192="○",1,0)+IF(P192="○",1,0),"")</f>
        <v/>
      </c>
      <c r="Y192" s="20"/>
      <c r="Z192" s="18"/>
      <c r="AA192" s="20"/>
      <c r="AB192" s="20"/>
    </row>
    <row r="193" customFormat="false" ht="15" hidden="false" customHeight="false" outlineLevel="0" collapsed="false">
      <c r="A193" s="13" t="s">
        <v>464</v>
      </c>
      <c r="B193" s="14" t="s">
        <v>465</v>
      </c>
      <c r="C193" s="15" t="s">
        <v>406</v>
      </c>
      <c r="D193" s="15" t="n">
        <v>12</v>
      </c>
      <c r="E193" s="14" t="s">
        <v>101</v>
      </c>
      <c r="F193" s="15" t="s">
        <v>63</v>
      </c>
      <c r="G193" s="16" t="s">
        <v>64</v>
      </c>
      <c r="H193" s="17" t="n">
        <v>1</v>
      </c>
      <c r="I193" s="18"/>
      <c r="J193" s="15" t="n">
        <f aca="false">IF(AND(H193=1,N(I193)&gt;0),1,0)</f>
        <v>0</v>
      </c>
      <c r="K193" s="15" t="str">
        <f aca="false">IF(J193=1,SUMPRODUCT(($J$5:$J$312=1)*(N($I$5:$I$312)&gt;N(I193)))+1,"")</f>
        <v/>
      </c>
      <c r="L193" s="15" t="str">
        <f aca="false">IF(J193&lt;&gt;1,"",IF(K193&lt;=ROUND(SUM($J$5:$J$312)*0.2,0),"上位20%",IF(K193&lt;=ROUND(SUM($J$5:$J$312)*0.8,0),"中位60%","下位20%")))</f>
        <v/>
      </c>
      <c r="M193" s="15" t="str">
        <f aca="false">IF(F193="あり","◎","")</f>
        <v>◎</v>
      </c>
      <c r="N193" s="15" t="str">
        <f aca="false">IF(OR(LEFT(G193,1)="A",LEFT(G193,1)="B"),"◎","")</f>
        <v/>
      </c>
      <c r="O193" s="19"/>
      <c r="P193" s="19"/>
      <c r="Q193" s="19"/>
      <c r="R193" s="19"/>
      <c r="S193" s="19"/>
      <c r="T193" s="19"/>
      <c r="U193" s="19"/>
      <c r="V193" s="19"/>
      <c r="W193" s="15" t="str">
        <f aca="false">IF((N(Q193)+N(R193)+N(S193)+N(T193)+N(U193)+N(V193))=0,"",IF(AND((N(Q193)+N(R193)+N(T193))&gt;=2,(N(Q193)+N(R193)+N(S193)+N(T193)+N(U193)+N(V193))&gt;=4),"高",IF(AND((N(Q193)+N(R193)+N(T193))&gt;=1,(N(Q193)+N(R193)+N(S193)+N(T193)+N(U193)+N(V193))=3),"中","低")))</f>
        <v/>
      </c>
      <c r="X193" s="15" t="str">
        <f aca="false">IF(L193="中位60%",IF(W193="高",3,IF(W193="中",2,IF(W193="低",1,0)))+IF(M193="◎",1,0)+IF(N193="◎",1,0)+IF(O193="○",1,0)+IF(P193="○",1,0),"")</f>
        <v/>
      </c>
      <c r="Y193" s="20"/>
      <c r="Z193" s="18"/>
      <c r="AA193" s="20"/>
      <c r="AB193" s="20"/>
    </row>
    <row r="194" customFormat="false" ht="15" hidden="false" customHeight="false" outlineLevel="0" collapsed="false">
      <c r="A194" s="13" t="s">
        <v>466</v>
      </c>
      <c r="B194" s="14" t="s">
        <v>467</v>
      </c>
      <c r="C194" s="15" t="s">
        <v>406</v>
      </c>
      <c r="D194" s="15" t="n">
        <v>12</v>
      </c>
      <c r="E194" s="14" t="s">
        <v>91</v>
      </c>
      <c r="F194" s="15" t="s">
        <v>63</v>
      </c>
      <c r="G194" s="16" t="s">
        <v>88</v>
      </c>
      <c r="H194" s="17" t="n">
        <v>1</v>
      </c>
      <c r="I194" s="18"/>
      <c r="J194" s="15" t="n">
        <f aca="false">IF(AND(H194=1,N(I194)&gt;0),1,0)</f>
        <v>0</v>
      </c>
      <c r="K194" s="15" t="str">
        <f aca="false">IF(J194=1,SUMPRODUCT(($J$5:$J$312=1)*(N($I$5:$I$312)&gt;N(I194)))+1,"")</f>
        <v/>
      </c>
      <c r="L194" s="15" t="str">
        <f aca="false">IF(J194&lt;&gt;1,"",IF(K194&lt;=ROUND(SUM($J$5:$J$312)*0.2,0),"上位20%",IF(K194&lt;=ROUND(SUM($J$5:$J$312)*0.8,0),"中位60%","下位20%")))</f>
        <v/>
      </c>
      <c r="M194" s="15" t="str">
        <f aca="false">IF(F194="あり","◎","")</f>
        <v>◎</v>
      </c>
      <c r="N194" s="15" t="str">
        <f aca="false">IF(OR(LEFT(G194,1)="A",LEFT(G194,1)="B"),"◎","")</f>
        <v/>
      </c>
      <c r="O194" s="19"/>
      <c r="P194" s="19"/>
      <c r="Q194" s="19"/>
      <c r="R194" s="19"/>
      <c r="S194" s="19"/>
      <c r="T194" s="19"/>
      <c r="U194" s="19"/>
      <c r="V194" s="19"/>
      <c r="W194" s="15" t="str">
        <f aca="false">IF((N(Q194)+N(R194)+N(S194)+N(T194)+N(U194)+N(V194))=0,"",IF(AND((N(Q194)+N(R194)+N(T194))&gt;=2,(N(Q194)+N(R194)+N(S194)+N(T194)+N(U194)+N(V194))&gt;=4),"高",IF(AND((N(Q194)+N(R194)+N(T194))&gt;=1,(N(Q194)+N(R194)+N(S194)+N(T194)+N(U194)+N(V194))=3),"中","低")))</f>
        <v/>
      </c>
      <c r="X194" s="15" t="str">
        <f aca="false">IF(L194="中位60%",IF(W194="高",3,IF(W194="中",2,IF(W194="低",1,0)))+IF(M194="◎",1,0)+IF(N194="◎",1,0)+IF(O194="○",1,0)+IF(P194="○",1,0),"")</f>
        <v/>
      </c>
      <c r="Y194" s="20"/>
      <c r="Z194" s="18"/>
      <c r="AA194" s="20"/>
      <c r="AB194" s="20"/>
    </row>
    <row r="195" customFormat="false" ht="15" hidden="false" customHeight="false" outlineLevel="0" collapsed="false">
      <c r="A195" s="13" t="s">
        <v>468</v>
      </c>
      <c r="B195" s="14" t="s">
        <v>469</v>
      </c>
      <c r="C195" s="15" t="s">
        <v>406</v>
      </c>
      <c r="D195" s="15" t="n">
        <v>12</v>
      </c>
      <c r="E195" s="14" t="s">
        <v>75</v>
      </c>
      <c r="F195" s="15" t="s">
        <v>63</v>
      </c>
      <c r="G195" s="14"/>
      <c r="H195" s="17" t="n">
        <v>1</v>
      </c>
      <c r="I195" s="18"/>
      <c r="J195" s="15" t="n">
        <f aca="false">IF(AND(H195=1,N(I195)&gt;0),1,0)</f>
        <v>0</v>
      </c>
      <c r="K195" s="15" t="str">
        <f aca="false">IF(J195=1,SUMPRODUCT(($J$5:$J$312=1)*(N($I$5:$I$312)&gt;N(I195)))+1,"")</f>
        <v/>
      </c>
      <c r="L195" s="15" t="str">
        <f aca="false">IF(J195&lt;&gt;1,"",IF(K195&lt;=ROUND(SUM($J$5:$J$312)*0.2,0),"上位20%",IF(K195&lt;=ROUND(SUM($J$5:$J$312)*0.8,0),"中位60%","下位20%")))</f>
        <v/>
      </c>
      <c r="M195" s="15" t="str">
        <f aca="false">IF(F195="あり","◎","")</f>
        <v>◎</v>
      </c>
      <c r="N195" s="15" t="str">
        <f aca="false">IF(OR(LEFT(G195,1)="A",LEFT(G195,1)="B"),"◎","")</f>
        <v/>
      </c>
      <c r="O195" s="19"/>
      <c r="P195" s="19"/>
      <c r="Q195" s="19"/>
      <c r="R195" s="19"/>
      <c r="S195" s="19"/>
      <c r="T195" s="19"/>
      <c r="U195" s="19"/>
      <c r="V195" s="19"/>
      <c r="W195" s="15" t="str">
        <f aca="false">IF((N(Q195)+N(R195)+N(S195)+N(T195)+N(U195)+N(V195))=0,"",IF(AND((N(Q195)+N(R195)+N(T195))&gt;=2,(N(Q195)+N(R195)+N(S195)+N(T195)+N(U195)+N(V195))&gt;=4),"高",IF(AND((N(Q195)+N(R195)+N(T195))&gt;=1,(N(Q195)+N(R195)+N(S195)+N(T195)+N(U195)+N(V195))=3),"中","低")))</f>
        <v/>
      </c>
      <c r="X195" s="15" t="str">
        <f aca="false">IF(L195="中位60%",IF(W195="高",3,IF(W195="中",2,IF(W195="低",1,0)))+IF(M195="◎",1,0)+IF(N195="◎",1,0)+IF(O195="○",1,0)+IF(P195="○",1,0),"")</f>
        <v/>
      </c>
      <c r="Y195" s="20"/>
      <c r="Z195" s="18"/>
      <c r="AA195" s="20"/>
      <c r="AB195" s="20"/>
    </row>
    <row r="196" customFormat="false" ht="15" hidden="false" customHeight="false" outlineLevel="0" collapsed="false">
      <c r="A196" s="13" t="s">
        <v>470</v>
      </c>
      <c r="B196" s="14" t="s">
        <v>471</v>
      </c>
      <c r="C196" s="15" t="s">
        <v>406</v>
      </c>
      <c r="D196" s="15" t="n">
        <v>12</v>
      </c>
      <c r="E196" s="14" t="s">
        <v>91</v>
      </c>
      <c r="F196" s="15" t="s">
        <v>63</v>
      </c>
      <c r="G196" s="16" t="s">
        <v>88</v>
      </c>
      <c r="H196" s="17" t="n">
        <v>1</v>
      </c>
      <c r="I196" s="18"/>
      <c r="J196" s="15" t="n">
        <f aca="false">IF(AND(H196=1,N(I196)&gt;0),1,0)</f>
        <v>0</v>
      </c>
      <c r="K196" s="15" t="str">
        <f aca="false">IF(J196=1,SUMPRODUCT(($J$5:$J$312=1)*(N($I$5:$I$312)&gt;N(I196)))+1,"")</f>
        <v/>
      </c>
      <c r="L196" s="15" t="str">
        <f aca="false">IF(J196&lt;&gt;1,"",IF(K196&lt;=ROUND(SUM($J$5:$J$312)*0.2,0),"上位20%",IF(K196&lt;=ROUND(SUM($J$5:$J$312)*0.8,0),"中位60%","下位20%")))</f>
        <v/>
      </c>
      <c r="M196" s="15" t="str">
        <f aca="false">IF(F196="あり","◎","")</f>
        <v>◎</v>
      </c>
      <c r="N196" s="15" t="str">
        <f aca="false">IF(OR(LEFT(G196,1)="A",LEFT(G196,1)="B"),"◎","")</f>
        <v/>
      </c>
      <c r="O196" s="19"/>
      <c r="P196" s="19"/>
      <c r="Q196" s="19"/>
      <c r="R196" s="19"/>
      <c r="S196" s="19"/>
      <c r="T196" s="19"/>
      <c r="U196" s="19"/>
      <c r="V196" s="19"/>
      <c r="W196" s="15" t="str">
        <f aca="false">IF((N(Q196)+N(R196)+N(S196)+N(T196)+N(U196)+N(V196))=0,"",IF(AND((N(Q196)+N(R196)+N(T196))&gt;=2,(N(Q196)+N(R196)+N(S196)+N(T196)+N(U196)+N(V196))&gt;=4),"高",IF(AND((N(Q196)+N(R196)+N(T196))&gt;=1,(N(Q196)+N(R196)+N(S196)+N(T196)+N(U196)+N(V196))=3),"中","低")))</f>
        <v/>
      </c>
      <c r="X196" s="15" t="str">
        <f aca="false">IF(L196="中位60%",IF(W196="高",3,IF(W196="中",2,IF(W196="低",1,0)))+IF(M196="◎",1,0)+IF(N196="◎",1,0)+IF(O196="○",1,0)+IF(P196="○",1,0),"")</f>
        <v/>
      </c>
      <c r="Y196" s="20"/>
      <c r="Z196" s="18"/>
      <c r="AA196" s="20"/>
      <c r="AB196" s="20"/>
    </row>
    <row r="197" customFormat="false" ht="15" hidden="false" customHeight="false" outlineLevel="0" collapsed="false">
      <c r="A197" s="13" t="s">
        <v>472</v>
      </c>
      <c r="B197" s="14" t="s">
        <v>473</v>
      </c>
      <c r="C197" s="15" t="s">
        <v>406</v>
      </c>
      <c r="D197" s="15" t="n">
        <v>12</v>
      </c>
      <c r="E197" s="14" t="s">
        <v>117</v>
      </c>
      <c r="F197" s="15" t="s">
        <v>80</v>
      </c>
      <c r="G197" s="14"/>
      <c r="H197" s="17" t="n">
        <v>1</v>
      </c>
      <c r="I197" s="18"/>
      <c r="J197" s="15" t="n">
        <f aca="false">IF(AND(H197=1,N(I197)&gt;0),1,0)</f>
        <v>0</v>
      </c>
      <c r="K197" s="15" t="str">
        <f aca="false">IF(J197=1,SUMPRODUCT(($J$5:$J$312=1)*(N($I$5:$I$312)&gt;N(I197)))+1,"")</f>
        <v/>
      </c>
      <c r="L197" s="15" t="str">
        <f aca="false">IF(J197&lt;&gt;1,"",IF(K197&lt;=ROUND(SUM($J$5:$J$312)*0.2,0),"上位20%",IF(K197&lt;=ROUND(SUM($J$5:$J$312)*0.8,0),"中位60%","下位20%")))</f>
        <v/>
      </c>
      <c r="M197" s="15" t="str">
        <f aca="false">IF(F197="あり","◎","")</f>
        <v/>
      </c>
      <c r="N197" s="15" t="str">
        <f aca="false">IF(OR(LEFT(G197,1)="A",LEFT(G197,1)="B"),"◎","")</f>
        <v/>
      </c>
      <c r="O197" s="19"/>
      <c r="P197" s="19"/>
      <c r="Q197" s="19"/>
      <c r="R197" s="19"/>
      <c r="S197" s="19"/>
      <c r="T197" s="19"/>
      <c r="U197" s="19"/>
      <c r="V197" s="19"/>
      <c r="W197" s="15" t="str">
        <f aca="false">IF((N(Q197)+N(R197)+N(S197)+N(T197)+N(U197)+N(V197))=0,"",IF(AND((N(Q197)+N(R197)+N(T197))&gt;=2,(N(Q197)+N(R197)+N(S197)+N(T197)+N(U197)+N(V197))&gt;=4),"高",IF(AND((N(Q197)+N(R197)+N(T197))&gt;=1,(N(Q197)+N(R197)+N(S197)+N(T197)+N(U197)+N(V197))=3),"中","低")))</f>
        <v/>
      </c>
      <c r="X197" s="15" t="str">
        <f aca="false">IF(L197="中位60%",IF(W197="高",3,IF(W197="中",2,IF(W197="低",1,0)))+IF(M197="◎",1,0)+IF(N197="◎",1,0)+IF(O197="○",1,0)+IF(P197="○",1,0),"")</f>
        <v/>
      </c>
      <c r="Y197" s="20"/>
      <c r="Z197" s="18"/>
      <c r="AA197" s="20"/>
      <c r="AB197" s="20"/>
    </row>
    <row r="198" customFormat="false" ht="15" hidden="false" customHeight="false" outlineLevel="0" collapsed="false">
      <c r="A198" s="13" t="s">
        <v>474</v>
      </c>
      <c r="B198" s="14" t="s">
        <v>475</v>
      </c>
      <c r="C198" s="15" t="s">
        <v>406</v>
      </c>
      <c r="D198" s="15" t="n">
        <v>12</v>
      </c>
      <c r="E198" s="14" t="s">
        <v>101</v>
      </c>
      <c r="F198" s="15" t="s">
        <v>63</v>
      </c>
      <c r="G198" s="14"/>
      <c r="H198" s="17" t="n">
        <v>1</v>
      </c>
      <c r="I198" s="18"/>
      <c r="J198" s="15" t="n">
        <f aca="false">IF(AND(H198=1,N(I198)&gt;0),1,0)</f>
        <v>0</v>
      </c>
      <c r="K198" s="15" t="str">
        <f aca="false">IF(J198=1,SUMPRODUCT(($J$5:$J$312=1)*(N($I$5:$I$312)&gt;N(I198)))+1,"")</f>
        <v/>
      </c>
      <c r="L198" s="15" t="str">
        <f aca="false">IF(J198&lt;&gt;1,"",IF(K198&lt;=ROUND(SUM($J$5:$J$312)*0.2,0),"上位20%",IF(K198&lt;=ROUND(SUM($J$5:$J$312)*0.8,0),"中位60%","下位20%")))</f>
        <v/>
      </c>
      <c r="M198" s="15" t="str">
        <f aca="false">IF(F198="あり","◎","")</f>
        <v>◎</v>
      </c>
      <c r="N198" s="15" t="str">
        <f aca="false">IF(OR(LEFT(G198,1)="A",LEFT(G198,1)="B"),"◎","")</f>
        <v/>
      </c>
      <c r="O198" s="19"/>
      <c r="P198" s="19"/>
      <c r="Q198" s="19"/>
      <c r="R198" s="19"/>
      <c r="S198" s="19"/>
      <c r="T198" s="19"/>
      <c r="U198" s="19"/>
      <c r="V198" s="19"/>
      <c r="W198" s="15" t="str">
        <f aca="false">IF((N(Q198)+N(R198)+N(S198)+N(T198)+N(U198)+N(V198))=0,"",IF(AND((N(Q198)+N(R198)+N(T198))&gt;=2,(N(Q198)+N(R198)+N(S198)+N(T198)+N(U198)+N(V198))&gt;=4),"高",IF(AND((N(Q198)+N(R198)+N(T198))&gt;=1,(N(Q198)+N(R198)+N(S198)+N(T198)+N(U198)+N(V198))=3),"中","低")))</f>
        <v/>
      </c>
      <c r="X198" s="15" t="str">
        <f aca="false">IF(L198="中位60%",IF(W198="高",3,IF(W198="中",2,IF(W198="低",1,0)))+IF(M198="◎",1,0)+IF(N198="◎",1,0)+IF(O198="○",1,0)+IF(P198="○",1,0),"")</f>
        <v/>
      </c>
      <c r="Y198" s="20"/>
      <c r="Z198" s="18"/>
      <c r="AA198" s="20"/>
      <c r="AB198" s="20"/>
    </row>
    <row r="199" customFormat="false" ht="15" hidden="false" customHeight="false" outlineLevel="0" collapsed="false">
      <c r="A199" s="13" t="s">
        <v>476</v>
      </c>
      <c r="B199" s="14" t="s">
        <v>477</v>
      </c>
      <c r="C199" s="15" t="s">
        <v>406</v>
      </c>
      <c r="D199" s="15" t="n">
        <v>12</v>
      </c>
      <c r="E199" s="14" t="s">
        <v>83</v>
      </c>
      <c r="F199" s="15" t="s">
        <v>63</v>
      </c>
      <c r="G199" s="14"/>
      <c r="H199" s="17" t="n">
        <v>1</v>
      </c>
      <c r="I199" s="18"/>
      <c r="J199" s="15" t="n">
        <f aca="false">IF(AND(H199=1,N(I199)&gt;0),1,0)</f>
        <v>0</v>
      </c>
      <c r="K199" s="15" t="str">
        <f aca="false">IF(J199=1,SUMPRODUCT(($J$5:$J$312=1)*(N($I$5:$I$312)&gt;N(I199)))+1,"")</f>
        <v/>
      </c>
      <c r="L199" s="15" t="str">
        <f aca="false">IF(J199&lt;&gt;1,"",IF(K199&lt;=ROUND(SUM($J$5:$J$312)*0.2,0),"上位20%",IF(K199&lt;=ROUND(SUM($J$5:$J$312)*0.8,0),"中位60%","下位20%")))</f>
        <v/>
      </c>
      <c r="M199" s="15" t="str">
        <f aca="false">IF(F199="あり","◎","")</f>
        <v>◎</v>
      </c>
      <c r="N199" s="15" t="str">
        <f aca="false">IF(OR(LEFT(G199,1)="A",LEFT(G199,1)="B"),"◎","")</f>
        <v/>
      </c>
      <c r="O199" s="19"/>
      <c r="P199" s="19"/>
      <c r="Q199" s="19"/>
      <c r="R199" s="19"/>
      <c r="S199" s="19"/>
      <c r="T199" s="19"/>
      <c r="U199" s="19"/>
      <c r="V199" s="19"/>
      <c r="W199" s="15" t="str">
        <f aca="false">IF((N(Q199)+N(R199)+N(S199)+N(T199)+N(U199)+N(V199))=0,"",IF(AND((N(Q199)+N(R199)+N(T199))&gt;=2,(N(Q199)+N(R199)+N(S199)+N(T199)+N(U199)+N(V199))&gt;=4),"高",IF(AND((N(Q199)+N(R199)+N(T199))&gt;=1,(N(Q199)+N(R199)+N(S199)+N(T199)+N(U199)+N(V199))=3),"中","低")))</f>
        <v/>
      </c>
      <c r="X199" s="15" t="str">
        <f aca="false">IF(L199="中位60%",IF(W199="高",3,IF(W199="中",2,IF(W199="低",1,0)))+IF(M199="◎",1,0)+IF(N199="◎",1,0)+IF(O199="○",1,0)+IF(P199="○",1,0),"")</f>
        <v/>
      </c>
      <c r="Y199" s="20"/>
      <c r="Z199" s="18"/>
      <c r="AA199" s="20"/>
      <c r="AB199" s="20"/>
    </row>
    <row r="200" customFormat="false" ht="15" hidden="false" customHeight="false" outlineLevel="0" collapsed="false">
      <c r="A200" s="13" t="s">
        <v>478</v>
      </c>
      <c r="B200" s="14" t="s">
        <v>479</v>
      </c>
      <c r="C200" s="15" t="s">
        <v>406</v>
      </c>
      <c r="D200" s="15" t="n">
        <v>12</v>
      </c>
      <c r="E200" s="14" t="s">
        <v>75</v>
      </c>
      <c r="F200" s="15" t="s">
        <v>80</v>
      </c>
      <c r="G200" s="14"/>
      <c r="H200" s="17" t="n">
        <v>1</v>
      </c>
      <c r="I200" s="18"/>
      <c r="J200" s="15" t="n">
        <f aca="false">IF(AND(H200=1,N(I200)&gt;0),1,0)</f>
        <v>0</v>
      </c>
      <c r="K200" s="15" t="str">
        <f aca="false">IF(J200=1,SUMPRODUCT(($J$5:$J$312=1)*(N($I$5:$I$312)&gt;N(I200)))+1,"")</f>
        <v/>
      </c>
      <c r="L200" s="15" t="str">
        <f aca="false">IF(J200&lt;&gt;1,"",IF(K200&lt;=ROUND(SUM($J$5:$J$312)*0.2,0),"上位20%",IF(K200&lt;=ROUND(SUM($J$5:$J$312)*0.8,0),"中位60%","下位20%")))</f>
        <v/>
      </c>
      <c r="M200" s="15" t="str">
        <f aca="false">IF(F200="あり","◎","")</f>
        <v/>
      </c>
      <c r="N200" s="15" t="str">
        <f aca="false">IF(OR(LEFT(G200,1)="A",LEFT(G200,1)="B"),"◎","")</f>
        <v/>
      </c>
      <c r="O200" s="19"/>
      <c r="P200" s="19"/>
      <c r="Q200" s="19"/>
      <c r="R200" s="19"/>
      <c r="S200" s="19"/>
      <c r="T200" s="19"/>
      <c r="U200" s="19"/>
      <c r="V200" s="19"/>
      <c r="W200" s="15" t="str">
        <f aca="false">IF((N(Q200)+N(R200)+N(S200)+N(T200)+N(U200)+N(V200))=0,"",IF(AND((N(Q200)+N(R200)+N(T200))&gt;=2,(N(Q200)+N(R200)+N(S200)+N(T200)+N(U200)+N(V200))&gt;=4),"高",IF(AND((N(Q200)+N(R200)+N(T200))&gt;=1,(N(Q200)+N(R200)+N(S200)+N(T200)+N(U200)+N(V200))=3),"中","低")))</f>
        <v/>
      </c>
      <c r="X200" s="15" t="str">
        <f aca="false">IF(L200="中位60%",IF(W200="高",3,IF(W200="中",2,IF(W200="低",1,0)))+IF(M200="◎",1,0)+IF(N200="◎",1,0)+IF(O200="○",1,0)+IF(P200="○",1,0),"")</f>
        <v/>
      </c>
      <c r="Y200" s="20"/>
      <c r="Z200" s="18"/>
      <c r="AA200" s="20"/>
      <c r="AB200" s="20"/>
    </row>
    <row r="201" customFormat="false" ht="15" hidden="false" customHeight="false" outlineLevel="0" collapsed="false">
      <c r="A201" s="13" t="s">
        <v>480</v>
      </c>
      <c r="B201" s="14" t="s">
        <v>481</v>
      </c>
      <c r="C201" s="15" t="s">
        <v>406</v>
      </c>
      <c r="D201" s="15" t="n">
        <v>12</v>
      </c>
      <c r="E201" s="14" t="s">
        <v>75</v>
      </c>
      <c r="F201" s="15" t="s">
        <v>80</v>
      </c>
      <c r="G201" s="14"/>
      <c r="H201" s="17" t="n">
        <v>1</v>
      </c>
      <c r="I201" s="18"/>
      <c r="J201" s="15" t="n">
        <f aca="false">IF(AND(H201=1,N(I201)&gt;0),1,0)</f>
        <v>0</v>
      </c>
      <c r="K201" s="15" t="str">
        <f aca="false">IF(J201=1,SUMPRODUCT(($J$5:$J$312=1)*(N($I$5:$I$312)&gt;N(I201)))+1,"")</f>
        <v/>
      </c>
      <c r="L201" s="15" t="str">
        <f aca="false">IF(J201&lt;&gt;1,"",IF(K201&lt;=ROUND(SUM($J$5:$J$312)*0.2,0),"上位20%",IF(K201&lt;=ROUND(SUM($J$5:$J$312)*0.8,0),"中位60%","下位20%")))</f>
        <v/>
      </c>
      <c r="M201" s="15" t="str">
        <f aca="false">IF(F201="あり","◎","")</f>
        <v/>
      </c>
      <c r="N201" s="15" t="str">
        <f aca="false">IF(OR(LEFT(G201,1)="A",LEFT(G201,1)="B"),"◎","")</f>
        <v/>
      </c>
      <c r="O201" s="19"/>
      <c r="P201" s="19"/>
      <c r="Q201" s="19"/>
      <c r="R201" s="19"/>
      <c r="S201" s="19"/>
      <c r="T201" s="19"/>
      <c r="U201" s="19"/>
      <c r="V201" s="19"/>
      <c r="W201" s="15" t="str">
        <f aca="false">IF((N(Q201)+N(R201)+N(S201)+N(T201)+N(U201)+N(V201))=0,"",IF(AND((N(Q201)+N(R201)+N(T201))&gt;=2,(N(Q201)+N(R201)+N(S201)+N(T201)+N(U201)+N(V201))&gt;=4),"高",IF(AND((N(Q201)+N(R201)+N(T201))&gt;=1,(N(Q201)+N(R201)+N(S201)+N(T201)+N(U201)+N(V201))=3),"中","低")))</f>
        <v/>
      </c>
      <c r="X201" s="15" t="str">
        <f aca="false">IF(L201="中位60%",IF(W201="高",3,IF(W201="中",2,IF(W201="低",1,0)))+IF(M201="◎",1,0)+IF(N201="◎",1,0)+IF(O201="○",1,0)+IF(P201="○",1,0),"")</f>
        <v/>
      </c>
      <c r="Y201" s="20"/>
      <c r="Z201" s="18"/>
      <c r="AA201" s="20"/>
      <c r="AB201" s="20"/>
    </row>
    <row r="202" customFormat="false" ht="15" hidden="false" customHeight="false" outlineLevel="0" collapsed="false">
      <c r="A202" s="13" t="s">
        <v>482</v>
      </c>
      <c r="B202" s="14" t="s">
        <v>483</v>
      </c>
      <c r="C202" s="15" t="s">
        <v>406</v>
      </c>
      <c r="D202" s="15" t="n">
        <v>12</v>
      </c>
      <c r="E202" s="14" t="s">
        <v>484</v>
      </c>
      <c r="F202" s="15" t="s">
        <v>80</v>
      </c>
      <c r="G202" s="14"/>
      <c r="H202" s="17" t="n">
        <v>1</v>
      </c>
      <c r="I202" s="18"/>
      <c r="J202" s="15" t="n">
        <f aca="false">IF(AND(H202=1,N(I202)&gt;0),1,0)</f>
        <v>0</v>
      </c>
      <c r="K202" s="15" t="str">
        <f aca="false">IF(J202=1,SUMPRODUCT(($J$5:$J$312=1)*(N($I$5:$I$312)&gt;N(I202)))+1,"")</f>
        <v/>
      </c>
      <c r="L202" s="15" t="str">
        <f aca="false">IF(J202&lt;&gt;1,"",IF(K202&lt;=ROUND(SUM($J$5:$J$312)*0.2,0),"上位20%",IF(K202&lt;=ROUND(SUM($J$5:$J$312)*0.8,0),"中位60%","下位20%")))</f>
        <v/>
      </c>
      <c r="M202" s="15" t="str">
        <f aca="false">IF(F202="あり","◎","")</f>
        <v/>
      </c>
      <c r="N202" s="15" t="str">
        <f aca="false">IF(OR(LEFT(G202,1)="A",LEFT(G202,1)="B"),"◎","")</f>
        <v/>
      </c>
      <c r="O202" s="19"/>
      <c r="P202" s="19"/>
      <c r="Q202" s="19"/>
      <c r="R202" s="19"/>
      <c r="S202" s="19"/>
      <c r="T202" s="19"/>
      <c r="U202" s="19"/>
      <c r="V202" s="19"/>
      <c r="W202" s="15" t="str">
        <f aca="false">IF((N(Q202)+N(R202)+N(S202)+N(T202)+N(U202)+N(V202))=0,"",IF(AND((N(Q202)+N(R202)+N(T202))&gt;=2,(N(Q202)+N(R202)+N(S202)+N(T202)+N(U202)+N(V202))&gt;=4),"高",IF(AND((N(Q202)+N(R202)+N(T202))&gt;=1,(N(Q202)+N(R202)+N(S202)+N(T202)+N(U202)+N(V202))=3),"中","低")))</f>
        <v/>
      </c>
      <c r="X202" s="15" t="str">
        <f aca="false">IF(L202="中位60%",IF(W202="高",3,IF(W202="中",2,IF(W202="低",1,0)))+IF(M202="◎",1,0)+IF(N202="◎",1,0)+IF(O202="○",1,0)+IF(P202="○",1,0),"")</f>
        <v/>
      </c>
      <c r="Y202" s="20"/>
      <c r="Z202" s="18"/>
      <c r="AA202" s="20"/>
      <c r="AB202" s="20"/>
    </row>
    <row r="203" customFormat="false" ht="15" hidden="false" customHeight="false" outlineLevel="0" collapsed="false">
      <c r="A203" s="13" t="s">
        <v>485</v>
      </c>
      <c r="B203" s="14" t="s">
        <v>486</v>
      </c>
      <c r="C203" s="15" t="s">
        <v>406</v>
      </c>
      <c r="D203" s="15" t="n">
        <v>12</v>
      </c>
      <c r="E203" s="14" t="s">
        <v>91</v>
      </c>
      <c r="F203" s="15" t="s">
        <v>80</v>
      </c>
      <c r="G203" s="14"/>
      <c r="H203" s="17" t="n">
        <v>1</v>
      </c>
      <c r="I203" s="18"/>
      <c r="J203" s="15" t="n">
        <f aca="false">IF(AND(H203=1,N(I203)&gt;0),1,0)</f>
        <v>0</v>
      </c>
      <c r="K203" s="15" t="str">
        <f aca="false">IF(J203=1,SUMPRODUCT(($J$5:$J$312=1)*(N($I$5:$I$312)&gt;N(I203)))+1,"")</f>
        <v/>
      </c>
      <c r="L203" s="15" t="str">
        <f aca="false">IF(J203&lt;&gt;1,"",IF(K203&lt;=ROUND(SUM($J$5:$J$312)*0.2,0),"上位20%",IF(K203&lt;=ROUND(SUM($J$5:$J$312)*0.8,0),"中位60%","下位20%")))</f>
        <v/>
      </c>
      <c r="M203" s="15" t="str">
        <f aca="false">IF(F203="あり","◎","")</f>
        <v/>
      </c>
      <c r="N203" s="15" t="str">
        <f aca="false">IF(OR(LEFT(G203,1)="A",LEFT(G203,1)="B"),"◎","")</f>
        <v/>
      </c>
      <c r="O203" s="19"/>
      <c r="P203" s="19"/>
      <c r="Q203" s="19"/>
      <c r="R203" s="19"/>
      <c r="S203" s="19"/>
      <c r="T203" s="19"/>
      <c r="U203" s="19"/>
      <c r="V203" s="19"/>
      <c r="W203" s="15" t="str">
        <f aca="false">IF((N(Q203)+N(R203)+N(S203)+N(T203)+N(U203)+N(V203))=0,"",IF(AND((N(Q203)+N(R203)+N(T203))&gt;=2,(N(Q203)+N(R203)+N(S203)+N(T203)+N(U203)+N(V203))&gt;=4),"高",IF(AND((N(Q203)+N(R203)+N(T203))&gt;=1,(N(Q203)+N(R203)+N(S203)+N(T203)+N(U203)+N(V203))=3),"中","低")))</f>
        <v/>
      </c>
      <c r="X203" s="15" t="str">
        <f aca="false">IF(L203="中位60%",IF(W203="高",3,IF(W203="中",2,IF(W203="低",1,0)))+IF(M203="◎",1,0)+IF(N203="◎",1,0)+IF(O203="○",1,0)+IF(P203="○",1,0),"")</f>
        <v/>
      </c>
      <c r="Y203" s="20"/>
      <c r="Z203" s="18"/>
      <c r="AA203" s="20"/>
      <c r="AB203" s="20"/>
    </row>
    <row r="204" customFormat="false" ht="15" hidden="false" customHeight="false" outlineLevel="0" collapsed="false">
      <c r="A204" s="13" t="s">
        <v>487</v>
      </c>
      <c r="B204" s="14" t="s">
        <v>488</v>
      </c>
      <c r="C204" s="15" t="s">
        <v>406</v>
      </c>
      <c r="D204" s="15" t="n">
        <v>12</v>
      </c>
      <c r="E204" s="14" t="s">
        <v>75</v>
      </c>
      <c r="F204" s="15" t="s">
        <v>80</v>
      </c>
      <c r="G204" s="16" t="s">
        <v>489</v>
      </c>
      <c r="H204" s="17" t="n">
        <v>1</v>
      </c>
      <c r="I204" s="18"/>
      <c r="J204" s="15" t="n">
        <f aca="false">IF(AND(H204=1,N(I204)&gt;0),1,0)</f>
        <v>0</v>
      </c>
      <c r="K204" s="15" t="str">
        <f aca="false">IF(J204=1,SUMPRODUCT(($J$5:$J$312=1)*(N($I$5:$I$312)&gt;N(I204)))+1,"")</f>
        <v/>
      </c>
      <c r="L204" s="15" t="str">
        <f aca="false">IF(J204&lt;&gt;1,"",IF(K204&lt;=ROUND(SUM($J$5:$J$312)*0.2,0),"上位20%",IF(K204&lt;=ROUND(SUM($J$5:$J$312)*0.8,0),"中位60%","下位20%")))</f>
        <v/>
      </c>
      <c r="M204" s="15" t="str">
        <f aca="false">IF(F204="あり","◎","")</f>
        <v/>
      </c>
      <c r="N204" s="15" t="str">
        <f aca="false">IF(OR(LEFT(G204,1)="A",LEFT(G204,1)="B"),"◎","")</f>
        <v/>
      </c>
      <c r="O204" s="19"/>
      <c r="P204" s="19"/>
      <c r="Q204" s="19"/>
      <c r="R204" s="19"/>
      <c r="S204" s="19"/>
      <c r="T204" s="19"/>
      <c r="U204" s="19"/>
      <c r="V204" s="19"/>
      <c r="W204" s="15" t="str">
        <f aca="false">IF((N(Q204)+N(R204)+N(S204)+N(T204)+N(U204)+N(V204))=0,"",IF(AND((N(Q204)+N(R204)+N(T204))&gt;=2,(N(Q204)+N(R204)+N(S204)+N(T204)+N(U204)+N(V204))&gt;=4),"高",IF(AND((N(Q204)+N(R204)+N(T204))&gt;=1,(N(Q204)+N(R204)+N(S204)+N(T204)+N(U204)+N(V204))=3),"中","低")))</f>
        <v/>
      </c>
      <c r="X204" s="15" t="str">
        <f aca="false">IF(L204="中位60%",IF(W204="高",3,IF(W204="中",2,IF(W204="低",1,0)))+IF(M204="◎",1,0)+IF(N204="◎",1,0)+IF(O204="○",1,0)+IF(P204="○",1,0),"")</f>
        <v/>
      </c>
      <c r="Y204" s="20"/>
      <c r="Z204" s="18"/>
      <c r="AA204" s="20"/>
      <c r="AB204" s="20"/>
    </row>
    <row r="205" customFormat="false" ht="15" hidden="false" customHeight="false" outlineLevel="0" collapsed="false">
      <c r="A205" s="13" t="s">
        <v>490</v>
      </c>
      <c r="B205" s="14" t="s">
        <v>491</v>
      </c>
      <c r="C205" s="15" t="s">
        <v>406</v>
      </c>
      <c r="D205" s="15" t="n">
        <v>12</v>
      </c>
      <c r="E205" s="14" t="s">
        <v>222</v>
      </c>
      <c r="F205" s="15" t="s">
        <v>80</v>
      </c>
      <c r="G205" s="14"/>
      <c r="H205" s="17" t="n">
        <v>1</v>
      </c>
      <c r="I205" s="18"/>
      <c r="J205" s="15" t="n">
        <f aca="false">IF(AND(H205=1,N(I205)&gt;0),1,0)</f>
        <v>0</v>
      </c>
      <c r="K205" s="15" t="str">
        <f aca="false">IF(J205=1,SUMPRODUCT(($J$5:$J$312=1)*(N($I$5:$I$312)&gt;N(I205)))+1,"")</f>
        <v/>
      </c>
      <c r="L205" s="15" t="str">
        <f aca="false">IF(J205&lt;&gt;1,"",IF(K205&lt;=ROUND(SUM($J$5:$J$312)*0.2,0),"上位20%",IF(K205&lt;=ROUND(SUM($J$5:$J$312)*0.8,0),"中位60%","下位20%")))</f>
        <v/>
      </c>
      <c r="M205" s="15" t="str">
        <f aca="false">IF(F205="あり","◎","")</f>
        <v/>
      </c>
      <c r="N205" s="15" t="str">
        <f aca="false">IF(OR(LEFT(G205,1)="A",LEFT(G205,1)="B"),"◎","")</f>
        <v/>
      </c>
      <c r="O205" s="19"/>
      <c r="P205" s="19"/>
      <c r="Q205" s="19"/>
      <c r="R205" s="19"/>
      <c r="S205" s="19"/>
      <c r="T205" s="19"/>
      <c r="U205" s="19"/>
      <c r="V205" s="19"/>
      <c r="W205" s="15" t="str">
        <f aca="false">IF((N(Q205)+N(R205)+N(S205)+N(T205)+N(U205)+N(V205))=0,"",IF(AND((N(Q205)+N(R205)+N(T205))&gt;=2,(N(Q205)+N(R205)+N(S205)+N(T205)+N(U205)+N(V205))&gt;=4),"高",IF(AND((N(Q205)+N(R205)+N(T205))&gt;=1,(N(Q205)+N(R205)+N(S205)+N(T205)+N(U205)+N(V205))=3),"中","低")))</f>
        <v/>
      </c>
      <c r="X205" s="15" t="str">
        <f aca="false">IF(L205="中位60%",IF(W205="高",3,IF(W205="中",2,IF(W205="低",1,0)))+IF(M205="◎",1,0)+IF(N205="◎",1,0)+IF(O205="○",1,0)+IF(P205="○",1,0),"")</f>
        <v/>
      </c>
      <c r="Y205" s="20"/>
      <c r="Z205" s="18"/>
      <c r="AA205" s="20"/>
      <c r="AB205" s="20"/>
    </row>
    <row r="206" customFormat="false" ht="15" hidden="false" customHeight="false" outlineLevel="0" collapsed="false">
      <c r="A206" s="13" t="s">
        <v>492</v>
      </c>
      <c r="B206" s="14" t="s">
        <v>493</v>
      </c>
      <c r="C206" s="15" t="s">
        <v>406</v>
      </c>
      <c r="D206" s="15" t="n">
        <v>12</v>
      </c>
      <c r="E206" s="14" t="s">
        <v>484</v>
      </c>
      <c r="F206" s="15" t="s">
        <v>80</v>
      </c>
      <c r="G206" s="14"/>
      <c r="H206" s="17" t="n">
        <v>1</v>
      </c>
      <c r="I206" s="18"/>
      <c r="J206" s="15" t="n">
        <f aca="false">IF(AND(H206=1,N(I206)&gt;0),1,0)</f>
        <v>0</v>
      </c>
      <c r="K206" s="15" t="str">
        <f aca="false">IF(J206=1,SUMPRODUCT(($J$5:$J$312=1)*(N($I$5:$I$312)&gt;N(I206)))+1,"")</f>
        <v/>
      </c>
      <c r="L206" s="15" t="str">
        <f aca="false">IF(J206&lt;&gt;1,"",IF(K206&lt;=ROUND(SUM($J$5:$J$312)*0.2,0),"上位20%",IF(K206&lt;=ROUND(SUM($J$5:$J$312)*0.8,0),"中位60%","下位20%")))</f>
        <v/>
      </c>
      <c r="M206" s="15" t="str">
        <f aca="false">IF(F206="あり","◎","")</f>
        <v/>
      </c>
      <c r="N206" s="15" t="str">
        <f aca="false">IF(OR(LEFT(G206,1)="A",LEFT(G206,1)="B"),"◎","")</f>
        <v/>
      </c>
      <c r="O206" s="19"/>
      <c r="P206" s="19"/>
      <c r="Q206" s="19"/>
      <c r="R206" s="19"/>
      <c r="S206" s="19"/>
      <c r="T206" s="19"/>
      <c r="U206" s="19"/>
      <c r="V206" s="19"/>
      <c r="W206" s="15" t="str">
        <f aca="false">IF((N(Q206)+N(R206)+N(S206)+N(T206)+N(U206)+N(V206))=0,"",IF(AND((N(Q206)+N(R206)+N(T206))&gt;=2,(N(Q206)+N(R206)+N(S206)+N(T206)+N(U206)+N(V206))&gt;=4),"高",IF(AND((N(Q206)+N(R206)+N(T206))&gt;=1,(N(Q206)+N(R206)+N(S206)+N(T206)+N(U206)+N(V206))=3),"中","低")))</f>
        <v/>
      </c>
      <c r="X206" s="15" t="str">
        <f aca="false">IF(L206="中位60%",IF(W206="高",3,IF(W206="中",2,IF(W206="低",1,0)))+IF(M206="◎",1,0)+IF(N206="◎",1,0)+IF(O206="○",1,0)+IF(P206="○",1,0),"")</f>
        <v/>
      </c>
      <c r="Y206" s="20"/>
      <c r="Z206" s="18"/>
      <c r="AA206" s="20"/>
      <c r="AB206" s="20"/>
    </row>
    <row r="207" customFormat="false" ht="15" hidden="false" customHeight="false" outlineLevel="0" collapsed="false">
      <c r="A207" s="13" t="s">
        <v>494</v>
      </c>
      <c r="B207" s="14" t="s">
        <v>495</v>
      </c>
      <c r="C207" s="15" t="s">
        <v>406</v>
      </c>
      <c r="D207" s="15" t="n">
        <v>12</v>
      </c>
      <c r="E207" s="14" t="s">
        <v>484</v>
      </c>
      <c r="F207" s="15" t="s">
        <v>80</v>
      </c>
      <c r="G207" s="14"/>
      <c r="H207" s="17" t="n">
        <v>1</v>
      </c>
      <c r="I207" s="18"/>
      <c r="J207" s="15" t="n">
        <f aca="false">IF(AND(H207=1,N(I207)&gt;0),1,0)</f>
        <v>0</v>
      </c>
      <c r="K207" s="15" t="str">
        <f aca="false">IF(J207=1,SUMPRODUCT(($J$5:$J$312=1)*(N($I$5:$I$312)&gt;N(I207)))+1,"")</f>
        <v/>
      </c>
      <c r="L207" s="15" t="str">
        <f aca="false">IF(J207&lt;&gt;1,"",IF(K207&lt;=ROUND(SUM($J$5:$J$312)*0.2,0),"上位20%",IF(K207&lt;=ROUND(SUM($J$5:$J$312)*0.8,0),"中位60%","下位20%")))</f>
        <v/>
      </c>
      <c r="M207" s="15" t="str">
        <f aca="false">IF(F207="あり","◎","")</f>
        <v/>
      </c>
      <c r="N207" s="15" t="str">
        <f aca="false">IF(OR(LEFT(G207,1)="A",LEFT(G207,1)="B"),"◎","")</f>
        <v/>
      </c>
      <c r="O207" s="19"/>
      <c r="P207" s="19"/>
      <c r="Q207" s="19"/>
      <c r="R207" s="19"/>
      <c r="S207" s="19"/>
      <c r="T207" s="19"/>
      <c r="U207" s="19"/>
      <c r="V207" s="19"/>
      <c r="W207" s="15" t="str">
        <f aca="false">IF((N(Q207)+N(R207)+N(S207)+N(T207)+N(U207)+N(V207))=0,"",IF(AND((N(Q207)+N(R207)+N(T207))&gt;=2,(N(Q207)+N(R207)+N(S207)+N(T207)+N(U207)+N(V207))&gt;=4),"高",IF(AND((N(Q207)+N(R207)+N(T207))&gt;=1,(N(Q207)+N(R207)+N(S207)+N(T207)+N(U207)+N(V207))=3),"中","低")))</f>
        <v/>
      </c>
      <c r="X207" s="15" t="str">
        <f aca="false">IF(L207="中位60%",IF(W207="高",3,IF(W207="中",2,IF(W207="低",1,0)))+IF(M207="◎",1,0)+IF(N207="◎",1,0)+IF(O207="○",1,0)+IF(P207="○",1,0),"")</f>
        <v/>
      </c>
      <c r="Y207" s="20"/>
      <c r="Z207" s="18"/>
      <c r="AA207" s="20"/>
      <c r="AB207" s="20"/>
    </row>
    <row r="208" customFormat="false" ht="15" hidden="false" customHeight="false" outlineLevel="0" collapsed="false">
      <c r="A208" s="13" t="s">
        <v>496</v>
      </c>
      <c r="B208" s="14" t="s">
        <v>497</v>
      </c>
      <c r="C208" s="15" t="s">
        <v>406</v>
      </c>
      <c r="D208" s="15" t="n">
        <v>12</v>
      </c>
      <c r="E208" s="14" t="s">
        <v>117</v>
      </c>
      <c r="F208" s="15" t="s">
        <v>80</v>
      </c>
      <c r="G208" s="14"/>
      <c r="H208" s="17" t="n">
        <v>1</v>
      </c>
      <c r="I208" s="18"/>
      <c r="J208" s="15" t="n">
        <f aca="false">IF(AND(H208=1,N(I208)&gt;0),1,0)</f>
        <v>0</v>
      </c>
      <c r="K208" s="15" t="str">
        <f aca="false">IF(J208=1,SUMPRODUCT(($J$5:$J$312=1)*(N($I$5:$I$312)&gt;N(I208)))+1,"")</f>
        <v/>
      </c>
      <c r="L208" s="15" t="str">
        <f aca="false">IF(J208&lt;&gt;1,"",IF(K208&lt;=ROUND(SUM($J$5:$J$312)*0.2,0),"上位20%",IF(K208&lt;=ROUND(SUM($J$5:$J$312)*0.8,0),"中位60%","下位20%")))</f>
        <v/>
      </c>
      <c r="M208" s="15" t="str">
        <f aca="false">IF(F208="あり","◎","")</f>
        <v/>
      </c>
      <c r="N208" s="15" t="str">
        <f aca="false">IF(OR(LEFT(G208,1)="A",LEFT(G208,1)="B"),"◎","")</f>
        <v/>
      </c>
      <c r="O208" s="19"/>
      <c r="P208" s="19"/>
      <c r="Q208" s="19"/>
      <c r="R208" s="19"/>
      <c r="S208" s="19"/>
      <c r="T208" s="19"/>
      <c r="U208" s="19"/>
      <c r="V208" s="19"/>
      <c r="W208" s="15" t="str">
        <f aca="false">IF((N(Q208)+N(R208)+N(S208)+N(T208)+N(U208)+N(V208))=0,"",IF(AND((N(Q208)+N(R208)+N(T208))&gt;=2,(N(Q208)+N(R208)+N(S208)+N(T208)+N(U208)+N(V208))&gt;=4),"高",IF(AND((N(Q208)+N(R208)+N(T208))&gt;=1,(N(Q208)+N(R208)+N(S208)+N(T208)+N(U208)+N(V208))=3),"中","低")))</f>
        <v/>
      </c>
      <c r="X208" s="15" t="str">
        <f aca="false">IF(L208="中位60%",IF(W208="高",3,IF(W208="中",2,IF(W208="低",1,0)))+IF(M208="◎",1,0)+IF(N208="◎",1,0)+IF(O208="○",1,0)+IF(P208="○",1,0),"")</f>
        <v/>
      </c>
      <c r="Y208" s="20"/>
      <c r="Z208" s="18"/>
      <c r="AA208" s="20"/>
      <c r="AB208" s="20"/>
    </row>
    <row r="209" customFormat="false" ht="15" hidden="false" customHeight="false" outlineLevel="0" collapsed="false">
      <c r="A209" s="13" t="s">
        <v>498</v>
      </c>
      <c r="B209" s="14" t="s">
        <v>499</v>
      </c>
      <c r="C209" s="15" t="s">
        <v>406</v>
      </c>
      <c r="D209" s="15" t="n">
        <v>12</v>
      </c>
      <c r="E209" s="14" t="s">
        <v>91</v>
      </c>
      <c r="F209" s="15" t="s">
        <v>80</v>
      </c>
      <c r="G209" s="14"/>
      <c r="H209" s="17" t="n">
        <v>1</v>
      </c>
      <c r="I209" s="18"/>
      <c r="J209" s="15" t="n">
        <f aca="false">IF(AND(H209=1,N(I209)&gt;0),1,0)</f>
        <v>0</v>
      </c>
      <c r="K209" s="15" t="str">
        <f aca="false">IF(J209=1,SUMPRODUCT(($J$5:$J$312=1)*(N($I$5:$I$312)&gt;N(I209)))+1,"")</f>
        <v/>
      </c>
      <c r="L209" s="15" t="str">
        <f aca="false">IF(J209&lt;&gt;1,"",IF(K209&lt;=ROUND(SUM($J$5:$J$312)*0.2,0),"上位20%",IF(K209&lt;=ROUND(SUM($J$5:$J$312)*0.8,0),"中位60%","下位20%")))</f>
        <v/>
      </c>
      <c r="M209" s="15" t="str">
        <f aca="false">IF(F209="あり","◎","")</f>
        <v/>
      </c>
      <c r="N209" s="15" t="str">
        <f aca="false">IF(OR(LEFT(G209,1)="A",LEFT(G209,1)="B"),"◎","")</f>
        <v/>
      </c>
      <c r="O209" s="19"/>
      <c r="P209" s="19"/>
      <c r="Q209" s="19"/>
      <c r="R209" s="19"/>
      <c r="S209" s="19"/>
      <c r="T209" s="19"/>
      <c r="U209" s="19"/>
      <c r="V209" s="19"/>
      <c r="W209" s="15" t="str">
        <f aca="false">IF((N(Q209)+N(R209)+N(S209)+N(T209)+N(U209)+N(V209))=0,"",IF(AND((N(Q209)+N(R209)+N(T209))&gt;=2,(N(Q209)+N(R209)+N(S209)+N(T209)+N(U209)+N(V209))&gt;=4),"高",IF(AND((N(Q209)+N(R209)+N(T209))&gt;=1,(N(Q209)+N(R209)+N(S209)+N(T209)+N(U209)+N(V209))=3),"中","低")))</f>
        <v/>
      </c>
      <c r="X209" s="15" t="str">
        <f aca="false">IF(L209="中位60%",IF(W209="高",3,IF(W209="中",2,IF(W209="低",1,0)))+IF(M209="◎",1,0)+IF(N209="◎",1,0)+IF(O209="○",1,0)+IF(P209="○",1,0),"")</f>
        <v/>
      </c>
      <c r="Y209" s="20"/>
      <c r="Z209" s="18"/>
      <c r="AA209" s="20"/>
      <c r="AB209" s="20"/>
    </row>
    <row r="210" customFormat="false" ht="15" hidden="false" customHeight="false" outlineLevel="0" collapsed="false">
      <c r="A210" s="13" t="s">
        <v>500</v>
      </c>
      <c r="B210" s="14" t="s">
        <v>501</v>
      </c>
      <c r="C210" s="15" t="s">
        <v>406</v>
      </c>
      <c r="D210" s="15" t="n">
        <v>12</v>
      </c>
      <c r="E210" s="14" t="s">
        <v>117</v>
      </c>
      <c r="F210" s="15" t="s">
        <v>80</v>
      </c>
      <c r="G210" s="14"/>
      <c r="H210" s="17" t="n">
        <v>1</v>
      </c>
      <c r="I210" s="18"/>
      <c r="J210" s="15" t="n">
        <f aca="false">IF(AND(H210=1,N(I210)&gt;0),1,0)</f>
        <v>0</v>
      </c>
      <c r="K210" s="15" t="str">
        <f aca="false">IF(J210=1,SUMPRODUCT(($J$5:$J$312=1)*(N($I$5:$I$312)&gt;N(I210)))+1,"")</f>
        <v/>
      </c>
      <c r="L210" s="15" t="str">
        <f aca="false">IF(J210&lt;&gt;1,"",IF(K210&lt;=ROUND(SUM($J$5:$J$312)*0.2,0),"上位20%",IF(K210&lt;=ROUND(SUM($J$5:$J$312)*0.8,0),"中位60%","下位20%")))</f>
        <v/>
      </c>
      <c r="M210" s="15" t="str">
        <f aca="false">IF(F210="あり","◎","")</f>
        <v/>
      </c>
      <c r="N210" s="15" t="str">
        <f aca="false">IF(OR(LEFT(G210,1)="A",LEFT(G210,1)="B"),"◎","")</f>
        <v/>
      </c>
      <c r="O210" s="19"/>
      <c r="P210" s="19"/>
      <c r="Q210" s="19"/>
      <c r="R210" s="19"/>
      <c r="S210" s="19"/>
      <c r="T210" s="19"/>
      <c r="U210" s="19"/>
      <c r="V210" s="19"/>
      <c r="W210" s="15" t="str">
        <f aca="false">IF((N(Q210)+N(R210)+N(S210)+N(T210)+N(U210)+N(V210))=0,"",IF(AND((N(Q210)+N(R210)+N(T210))&gt;=2,(N(Q210)+N(R210)+N(S210)+N(T210)+N(U210)+N(V210))&gt;=4),"高",IF(AND((N(Q210)+N(R210)+N(T210))&gt;=1,(N(Q210)+N(R210)+N(S210)+N(T210)+N(U210)+N(V210))=3),"中","低")))</f>
        <v/>
      </c>
      <c r="X210" s="15" t="str">
        <f aca="false">IF(L210="中位60%",IF(W210="高",3,IF(W210="中",2,IF(W210="低",1,0)))+IF(M210="◎",1,0)+IF(N210="◎",1,0)+IF(O210="○",1,0)+IF(P210="○",1,0),"")</f>
        <v/>
      </c>
      <c r="Y210" s="20"/>
      <c r="Z210" s="18"/>
      <c r="AA210" s="20"/>
      <c r="AB210" s="20"/>
    </row>
    <row r="211" customFormat="false" ht="15" hidden="false" customHeight="false" outlineLevel="0" collapsed="false">
      <c r="A211" s="13" t="s">
        <v>502</v>
      </c>
      <c r="B211" s="14" t="s">
        <v>503</v>
      </c>
      <c r="C211" s="15" t="s">
        <v>406</v>
      </c>
      <c r="D211" s="15" t="n">
        <v>12</v>
      </c>
      <c r="E211" s="14" t="s">
        <v>117</v>
      </c>
      <c r="F211" s="15" t="s">
        <v>80</v>
      </c>
      <c r="G211" s="14"/>
      <c r="H211" s="17" t="n">
        <v>1</v>
      </c>
      <c r="I211" s="18"/>
      <c r="J211" s="15" t="n">
        <f aca="false">IF(AND(H211=1,N(I211)&gt;0),1,0)</f>
        <v>0</v>
      </c>
      <c r="K211" s="15" t="str">
        <f aca="false">IF(J211=1,SUMPRODUCT(($J$5:$J$312=1)*(N($I$5:$I$312)&gt;N(I211)))+1,"")</f>
        <v/>
      </c>
      <c r="L211" s="15" t="str">
        <f aca="false">IF(J211&lt;&gt;1,"",IF(K211&lt;=ROUND(SUM($J$5:$J$312)*0.2,0),"上位20%",IF(K211&lt;=ROUND(SUM($J$5:$J$312)*0.8,0),"中位60%","下位20%")))</f>
        <v/>
      </c>
      <c r="M211" s="15" t="str">
        <f aca="false">IF(F211="あり","◎","")</f>
        <v/>
      </c>
      <c r="N211" s="15" t="str">
        <f aca="false">IF(OR(LEFT(G211,1)="A",LEFT(G211,1)="B"),"◎","")</f>
        <v/>
      </c>
      <c r="O211" s="19"/>
      <c r="P211" s="19"/>
      <c r="Q211" s="19"/>
      <c r="R211" s="19"/>
      <c r="S211" s="19"/>
      <c r="T211" s="19"/>
      <c r="U211" s="19"/>
      <c r="V211" s="19"/>
      <c r="W211" s="15" t="str">
        <f aca="false">IF((N(Q211)+N(R211)+N(S211)+N(T211)+N(U211)+N(V211))=0,"",IF(AND((N(Q211)+N(R211)+N(T211))&gt;=2,(N(Q211)+N(R211)+N(S211)+N(T211)+N(U211)+N(V211))&gt;=4),"高",IF(AND((N(Q211)+N(R211)+N(T211))&gt;=1,(N(Q211)+N(R211)+N(S211)+N(T211)+N(U211)+N(V211))=3),"中","低")))</f>
        <v/>
      </c>
      <c r="X211" s="15" t="str">
        <f aca="false">IF(L211="中位60%",IF(W211="高",3,IF(W211="中",2,IF(W211="低",1,0)))+IF(M211="◎",1,0)+IF(N211="◎",1,0)+IF(O211="○",1,0)+IF(P211="○",1,0),"")</f>
        <v/>
      </c>
      <c r="Y211" s="20"/>
      <c r="Z211" s="18"/>
      <c r="AA211" s="20"/>
      <c r="AB211" s="20"/>
    </row>
    <row r="212" customFormat="false" ht="15" hidden="false" customHeight="false" outlineLevel="0" collapsed="false">
      <c r="A212" s="13" t="s">
        <v>504</v>
      </c>
      <c r="B212" s="14" t="s">
        <v>505</v>
      </c>
      <c r="C212" s="15" t="s">
        <v>406</v>
      </c>
      <c r="D212" s="15" t="n">
        <v>12</v>
      </c>
      <c r="E212" s="14" t="s">
        <v>117</v>
      </c>
      <c r="F212" s="15" t="s">
        <v>80</v>
      </c>
      <c r="G212" s="14"/>
      <c r="H212" s="17" t="n">
        <v>1</v>
      </c>
      <c r="I212" s="18"/>
      <c r="J212" s="15" t="n">
        <f aca="false">IF(AND(H212=1,N(I212)&gt;0),1,0)</f>
        <v>0</v>
      </c>
      <c r="K212" s="15" t="str">
        <f aca="false">IF(J212=1,SUMPRODUCT(($J$5:$J$312=1)*(N($I$5:$I$312)&gt;N(I212)))+1,"")</f>
        <v/>
      </c>
      <c r="L212" s="15" t="str">
        <f aca="false">IF(J212&lt;&gt;1,"",IF(K212&lt;=ROUND(SUM($J$5:$J$312)*0.2,0),"上位20%",IF(K212&lt;=ROUND(SUM($J$5:$J$312)*0.8,0),"中位60%","下位20%")))</f>
        <v/>
      </c>
      <c r="M212" s="15" t="str">
        <f aca="false">IF(F212="あり","◎","")</f>
        <v/>
      </c>
      <c r="N212" s="15" t="str">
        <f aca="false">IF(OR(LEFT(G212,1)="A",LEFT(G212,1)="B"),"◎","")</f>
        <v/>
      </c>
      <c r="O212" s="19"/>
      <c r="P212" s="19"/>
      <c r="Q212" s="19"/>
      <c r="R212" s="19"/>
      <c r="S212" s="19"/>
      <c r="T212" s="19"/>
      <c r="U212" s="19"/>
      <c r="V212" s="19"/>
      <c r="W212" s="15" t="str">
        <f aca="false">IF((N(Q212)+N(R212)+N(S212)+N(T212)+N(U212)+N(V212))=0,"",IF(AND((N(Q212)+N(R212)+N(T212))&gt;=2,(N(Q212)+N(R212)+N(S212)+N(T212)+N(U212)+N(V212))&gt;=4),"高",IF(AND((N(Q212)+N(R212)+N(T212))&gt;=1,(N(Q212)+N(R212)+N(S212)+N(T212)+N(U212)+N(V212))=3),"中","低")))</f>
        <v/>
      </c>
      <c r="X212" s="15" t="str">
        <f aca="false">IF(L212="中位60%",IF(W212="高",3,IF(W212="中",2,IF(W212="低",1,0)))+IF(M212="◎",1,0)+IF(N212="◎",1,0)+IF(O212="○",1,0)+IF(P212="○",1,0),"")</f>
        <v/>
      </c>
      <c r="Y212" s="20"/>
      <c r="Z212" s="18"/>
      <c r="AA212" s="20"/>
      <c r="AB212" s="20"/>
    </row>
    <row r="213" customFormat="false" ht="15" hidden="false" customHeight="false" outlineLevel="0" collapsed="false">
      <c r="A213" s="13" t="s">
        <v>506</v>
      </c>
      <c r="B213" s="14" t="s">
        <v>507</v>
      </c>
      <c r="C213" s="15" t="s">
        <v>406</v>
      </c>
      <c r="D213" s="15" t="n">
        <v>12</v>
      </c>
      <c r="E213" s="14" t="s">
        <v>222</v>
      </c>
      <c r="F213" s="15" t="s">
        <v>63</v>
      </c>
      <c r="G213" s="14"/>
      <c r="H213" s="17" t="n">
        <v>1</v>
      </c>
      <c r="I213" s="18"/>
      <c r="J213" s="15" t="n">
        <f aca="false">IF(AND(H213=1,N(I213)&gt;0),1,0)</f>
        <v>0</v>
      </c>
      <c r="K213" s="15" t="str">
        <f aca="false">IF(J213=1,SUMPRODUCT(($J$5:$J$312=1)*(N($I$5:$I$312)&gt;N(I213)))+1,"")</f>
        <v/>
      </c>
      <c r="L213" s="15" t="str">
        <f aca="false">IF(J213&lt;&gt;1,"",IF(K213&lt;=ROUND(SUM($J$5:$J$312)*0.2,0),"上位20%",IF(K213&lt;=ROUND(SUM($J$5:$J$312)*0.8,0),"中位60%","下位20%")))</f>
        <v/>
      </c>
      <c r="M213" s="15" t="str">
        <f aca="false">IF(F213="あり","◎","")</f>
        <v>◎</v>
      </c>
      <c r="N213" s="15" t="str">
        <f aca="false">IF(OR(LEFT(G213,1)="A",LEFT(G213,1)="B"),"◎","")</f>
        <v/>
      </c>
      <c r="O213" s="19"/>
      <c r="P213" s="19"/>
      <c r="Q213" s="19"/>
      <c r="R213" s="19"/>
      <c r="S213" s="19"/>
      <c r="T213" s="19"/>
      <c r="U213" s="19"/>
      <c r="V213" s="19"/>
      <c r="W213" s="15" t="str">
        <f aca="false">IF((N(Q213)+N(R213)+N(S213)+N(T213)+N(U213)+N(V213))=0,"",IF(AND((N(Q213)+N(R213)+N(T213))&gt;=2,(N(Q213)+N(R213)+N(S213)+N(T213)+N(U213)+N(V213))&gt;=4),"高",IF(AND((N(Q213)+N(R213)+N(T213))&gt;=1,(N(Q213)+N(R213)+N(S213)+N(T213)+N(U213)+N(V213))=3),"中","低")))</f>
        <v/>
      </c>
      <c r="X213" s="15" t="str">
        <f aca="false">IF(L213="中位60%",IF(W213="高",3,IF(W213="中",2,IF(W213="低",1,0)))+IF(M213="◎",1,0)+IF(N213="◎",1,0)+IF(O213="○",1,0)+IF(P213="○",1,0),"")</f>
        <v/>
      </c>
      <c r="Y213" s="20"/>
      <c r="Z213" s="18"/>
      <c r="AA213" s="20"/>
      <c r="AB213" s="20"/>
    </row>
    <row r="214" customFormat="false" ht="15" hidden="false" customHeight="false" outlineLevel="0" collapsed="false">
      <c r="A214" s="13" t="s">
        <v>508</v>
      </c>
      <c r="B214" s="14" t="s">
        <v>509</v>
      </c>
      <c r="C214" s="15" t="s">
        <v>406</v>
      </c>
      <c r="D214" s="15" t="n">
        <v>12</v>
      </c>
      <c r="E214" s="14" t="s">
        <v>91</v>
      </c>
      <c r="F214" s="15" t="s">
        <v>80</v>
      </c>
      <c r="G214" s="14"/>
      <c r="H214" s="17" t="n">
        <v>1</v>
      </c>
      <c r="I214" s="18"/>
      <c r="J214" s="15" t="n">
        <f aca="false">IF(AND(H214=1,N(I214)&gt;0),1,0)</f>
        <v>0</v>
      </c>
      <c r="K214" s="15" t="str">
        <f aca="false">IF(J214=1,SUMPRODUCT(($J$5:$J$312=1)*(N($I$5:$I$312)&gt;N(I214)))+1,"")</f>
        <v/>
      </c>
      <c r="L214" s="15" t="str">
        <f aca="false">IF(J214&lt;&gt;1,"",IF(K214&lt;=ROUND(SUM($J$5:$J$312)*0.2,0),"上位20%",IF(K214&lt;=ROUND(SUM($J$5:$J$312)*0.8,0),"中位60%","下位20%")))</f>
        <v/>
      </c>
      <c r="M214" s="15" t="str">
        <f aca="false">IF(F214="あり","◎","")</f>
        <v/>
      </c>
      <c r="N214" s="15" t="str">
        <f aca="false">IF(OR(LEFT(G214,1)="A",LEFT(G214,1)="B"),"◎","")</f>
        <v/>
      </c>
      <c r="O214" s="19"/>
      <c r="P214" s="19"/>
      <c r="Q214" s="19"/>
      <c r="R214" s="19"/>
      <c r="S214" s="19"/>
      <c r="T214" s="19"/>
      <c r="U214" s="19"/>
      <c r="V214" s="19"/>
      <c r="W214" s="15" t="str">
        <f aca="false">IF((N(Q214)+N(R214)+N(S214)+N(T214)+N(U214)+N(V214))=0,"",IF(AND((N(Q214)+N(R214)+N(T214))&gt;=2,(N(Q214)+N(R214)+N(S214)+N(T214)+N(U214)+N(V214))&gt;=4),"高",IF(AND((N(Q214)+N(R214)+N(T214))&gt;=1,(N(Q214)+N(R214)+N(S214)+N(T214)+N(U214)+N(V214))=3),"中","低")))</f>
        <v/>
      </c>
      <c r="X214" s="15" t="str">
        <f aca="false">IF(L214="中位60%",IF(W214="高",3,IF(W214="中",2,IF(W214="低",1,0)))+IF(M214="◎",1,0)+IF(N214="◎",1,0)+IF(O214="○",1,0)+IF(P214="○",1,0),"")</f>
        <v/>
      </c>
      <c r="Y214" s="20"/>
      <c r="Z214" s="18"/>
      <c r="AA214" s="20"/>
      <c r="AB214" s="20"/>
    </row>
    <row r="215" customFormat="false" ht="15" hidden="false" customHeight="false" outlineLevel="0" collapsed="false">
      <c r="A215" s="13" t="s">
        <v>510</v>
      </c>
      <c r="B215" s="14" t="s">
        <v>511</v>
      </c>
      <c r="C215" s="15" t="s">
        <v>406</v>
      </c>
      <c r="D215" s="15" t="n">
        <v>12</v>
      </c>
      <c r="E215" s="14" t="s">
        <v>79</v>
      </c>
      <c r="F215" s="15" t="s">
        <v>63</v>
      </c>
      <c r="G215" s="14"/>
      <c r="H215" s="17" t="n">
        <v>1</v>
      </c>
      <c r="I215" s="18"/>
      <c r="J215" s="15" t="n">
        <f aca="false">IF(AND(H215=1,N(I215)&gt;0),1,0)</f>
        <v>0</v>
      </c>
      <c r="K215" s="15" t="str">
        <f aca="false">IF(J215=1,SUMPRODUCT(($J$5:$J$312=1)*(N($I$5:$I$312)&gt;N(I215)))+1,"")</f>
        <v/>
      </c>
      <c r="L215" s="15" t="str">
        <f aca="false">IF(J215&lt;&gt;1,"",IF(K215&lt;=ROUND(SUM($J$5:$J$312)*0.2,0),"上位20%",IF(K215&lt;=ROUND(SUM($J$5:$J$312)*0.8,0),"中位60%","下位20%")))</f>
        <v/>
      </c>
      <c r="M215" s="15" t="str">
        <f aca="false">IF(F215="あり","◎","")</f>
        <v>◎</v>
      </c>
      <c r="N215" s="15" t="str">
        <f aca="false">IF(OR(LEFT(G215,1)="A",LEFT(G215,1)="B"),"◎","")</f>
        <v/>
      </c>
      <c r="O215" s="19"/>
      <c r="P215" s="19"/>
      <c r="Q215" s="19"/>
      <c r="R215" s="19"/>
      <c r="S215" s="19"/>
      <c r="T215" s="19"/>
      <c r="U215" s="19"/>
      <c r="V215" s="19"/>
      <c r="W215" s="15" t="str">
        <f aca="false">IF((N(Q215)+N(R215)+N(S215)+N(T215)+N(U215)+N(V215))=0,"",IF(AND((N(Q215)+N(R215)+N(T215))&gt;=2,(N(Q215)+N(R215)+N(S215)+N(T215)+N(U215)+N(V215))&gt;=4),"高",IF(AND((N(Q215)+N(R215)+N(T215))&gt;=1,(N(Q215)+N(R215)+N(S215)+N(T215)+N(U215)+N(V215))=3),"中","低")))</f>
        <v/>
      </c>
      <c r="X215" s="15" t="str">
        <f aca="false">IF(L215="中位60%",IF(W215="高",3,IF(W215="中",2,IF(W215="低",1,0)))+IF(M215="◎",1,0)+IF(N215="◎",1,0)+IF(O215="○",1,0)+IF(P215="○",1,0),"")</f>
        <v/>
      </c>
      <c r="Y215" s="20"/>
      <c r="Z215" s="18"/>
      <c r="AA215" s="20"/>
      <c r="AB215" s="20"/>
    </row>
    <row r="216" customFormat="false" ht="15" hidden="false" customHeight="false" outlineLevel="0" collapsed="false">
      <c r="A216" s="13" t="s">
        <v>512</v>
      </c>
      <c r="B216" s="14" t="s">
        <v>513</v>
      </c>
      <c r="C216" s="15" t="s">
        <v>406</v>
      </c>
      <c r="D216" s="15" t="n">
        <v>12</v>
      </c>
      <c r="E216" s="14" t="s">
        <v>101</v>
      </c>
      <c r="F216" s="15" t="s">
        <v>63</v>
      </c>
      <c r="G216" s="14"/>
      <c r="H216" s="17" t="n">
        <v>1</v>
      </c>
      <c r="I216" s="18"/>
      <c r="J216" s="15" t="n">
        <f aca="false">IF(AND(H216=1,N(I216)&gt;0),1,0)</f>
        <v>0</v>
      </c>
      <c r="K216" s="15" t="str">
        <f aca="false">IF(J216=1,SUMPRODUCT(($J$5:$J$312=1)*(N($I$5:$I$312)&gt;N(I216)))+1,"")</f>
        <v/>
      </c>
      <c r="L216" s="15" t="str">
        <f aca="false">IF(J216&lt;&gt;1,"",IF(K216&lt;=ROUND(SUM($J$5:$J$312)*0.2,0),"上位20%",IF(K216&lt;=ROUND(SUM($J$5:$J$312)*0.8,0),"中位60%","下位20%")))</f>
        <v/>
      </c>
      <c r="M216" s="15" t="str">
        <f aca="false">IF(F216="あり","◎","")</f>
        <v>◎</v>
      </c>
      <c r="N216" s="15" t="str">
        <f aca="false">IF(OR(LEFT(G216,1)="A",LEFT(G216,1)="B"),"◎","")</f>
        <v/>
      </c>
      <c r="O216" s="19"/>
      <c r="P216" s="19"/>
      <c r="Q216" s="19"/>
      <c r="R216" s="19"/>
      <c r="S216" s="19"/>
      <c r="T216" s="19"/>
      <c r="U216" s="19"/>
      <c r="V216" s="19"/>
      <c r="W216" s="15" t="str">
        <f aca="false">IF((N(Q216)+N(R216)+N(S216)+N(T216)+N(U216)+N(V216))=0,"",IF(AND((N(Q216)+N(R216)+N(T216))&gt;=2,(N(Q216)+N(R216)+N(S216)+N(T216)+N(U216)+N(V216))&gt;=4),"高",IF(AND((N(Q216)+N(R216)+N(T216))&gt;=1,(N(Q216)+N(R216)+N(S216)+N(T216)+N(U216)+N(V216))=3),"中","低")))</f>
        <v/>
      </c>
      <c r="X216" s="15" t="str">
        <f aca="false">IF(L216="中位60%",IF(W216="高",3,IF(W216="中",2,IF(W216="低",1,0)))+IF(M216="◎",1,0)+IF(N216="◎",1,0)+IF(O216="○",1,0)+IF(P216="○",1,0),"")</f>
        <v/>
      </c>
      <c r="Y216" s="20"/>
      <c r="Z216" s="18"/>
      <c r="AA216" s="20"/>
      <c r="AB216" s="20"/>
    </row>
    <row r="217" customFormat="false" ht="15" hidden="false" customHeight="false" outlineLevel="0" collapsed="false">
      <c r="A217" s="13" t="s">
        <v>514</v>
      </c>
      <c r="B217" s="14" t="s">
        <v>515</v>
      </c>
      <c r="C217" s="15" t="s">
        <v>406</v>
      </c>
      <c r="D217" s="15" t="n">
        <v>12</v>
      </c>
      <c r="E217" s="14" t="s">
        <v>516</v>
      </c>
      <c r="F217" s="15" t="s">
        <v>80</v>
      </c>
      <c r="G217" s="14"/>
      <c r="H217" s="17" t="n">
        <v>1</v>
      </c>
      <c r="I217" s="18"/>
      <c r="J217" s="15" t="n">
        <f aca="false">IF(AND(H217=1,N(I217)&gt;0),1,0)</f>
        <v>0</v>
      </c>
      <c r="K217" s="15" t="str">
        <f aca="false">IF(J217=1,SUMPRODUCT(($J$5:$J$312=1)*(N($I$5:$I$312)&gt;N(I217)))+1,"")</f>
        <v/>
      </c>
      <c r="L217" s="15" t="str">
        <f aca="false">IF(J217&lt;&gt;1,"",IF(K217&lt;=ROUND(SUM($J$5:$J$312)*0.2,0),"上位20%",IF(K217&lt;=ROUND(SUM($J$5:$J$312)*0.8,0),"中位60%","下位20%")))</f>
        <v/>
      </c>
      <c r="M217" s="15" t="str">
        <f aca="false">IF(F217="あり","◎","")</f>
        <v/>
      </c>
      <c r="N217" s="15" t="str">
        <f aca="false">IF(OR(LEFT(G217,1)="A",LEFT(G217,1)="B"),"◎","")</f>
        <v/>
      </c>
      <c r="O217" s="19"/>
      <c r="P217" s="19"/>
      <c r="Q217" s="19"/>
      <c r="R217" s="19"/>
      <c r="S217" s="19"/>
      <c r="T217" s="19"/>
      <c r="U217" s="19"/>
      <c r="V217" s="19"/>
      <c r="W217" s="15" t="str">
        <f aca="false">IF((N(Q217)+N(R217)+N(S217)+N(T217)+N(U217)+N(V217))=0,"",IF(AND((N(Q217)+N(R217)+N(T217))&gt;=2,(N(Q217)+N(R217)+N(S217)+N(T217)+N(U217)+N(V217))&gt;=4),"高",IF(AND((N(Q217)+N(R217)+N(T217))&gt;=1,(N(Q217)+N(R217)+N(S217)+N(T217)+N(U217)+N(V217))=3),"中","低")))</f>
        <v/>
      </c>
      <c r="X217" s="15" t="str">
        <f aca="false">IF(L217="中位60%",IF(W217="高",3,IF(W217="中",2,IF(W217="低",1,0)))+IF(M217="◎",1,0)+IF(N217="◎",1,0)+IF(O217="○",1,0)+IF(P217="○",1,0),"")</f>
        <v/>
      </c>
      <c r="Y217" s="20"/>
      <c r="Z217" s="18"/>
      <c r="AA217" s="20"/>
      <c r="AB217" s="20"/>
    </row>
    <row r="218" customFormat="false" ht="15" hidden="false" customHeight="false" outlineLevel="0" collapsed="false">
      <c r="A218" s="13" t="s">
        <v>517</v>
      </c>
      <c r="B218" s="14" t="s">
        <v>518</v>
      </c>
      <c r="C218" s="15" t="s">
        <v>406</v>
      </c>
      <c r="D218" s="15" t="n">
        <v>12</v>
      </c>
      <c r="E218" s="14" t="s">
        <v>75</v>
      </c>
      <c r="F218" s="15" t="s">
        <v>63</v>
      </c>
      <c r="G218" s="14"/>
      <c r="H218" s="17" t="n">
        <v>1</v>
      </c>
      <c r="I218" s="18"/>
      <c r="J218" s="15" t="n">
        <f aca="false">IF(AND(H218=1,N(I218)&gt;0),1,0)</f>
        <v>0</v>
      </c>
      <c r="K218" s="15" t="str">
        <f aca="false">IF(J218=1,SUMPRODUCT(($J$5:$J$312=1)*(N($I$5:$I$312)&gt;N(I218)))+1,"")</f>
        <v/>
      </c>
      <c r="L218" s="15" t="str">
        <f aca="false">IF(J218&lt;&gt;1,"",IF(K218&lt;=ROUND(SUM($J$5:$J$312)*0.2,0),"上位20%",IF(K218&lt;=ROUND(SUM($J$5:$J$312)*0.8,0),"中位60%","下位20%")))</f>
        <v/>
      </c>
      <c r="M218" s="15" t="str">
        <f aca="false">IF(F218="あり","◎","")</f>
        <v>◎</v>
      </c>
      <c r="N218" s="15" t="str">
        <f aca="false">IF(OR(LEFT(G218,1)="A",LEFT(G218,1)="B"),"◎","")</f>
        <v/>
      </c>
      <c r="O218" s="19"/>
      <c r="P218" s="19"/>
      <c r="Q218" s="19"/>
      <c r="R218" s="19"/>
      <c r="S218" s="19"/>
      <c r="T218" s="19"/>
      <c r="U218" s="19"/>
      <c r="V218" s="19"/>
      <c r="W218" s="15" t="str">
        <f aca="false">IF((N(Q218)+N(R218)+N(S218)+N(T218)+N(U218)+N(V218))=0,"",IF(AND((N(Q218)+N(R218)+N(T218))&gt;=2,(N(Q218)+N(R218)+N(S218)+N(T218)+N(U218)+N(V218))&gt;=4),"高",IF(AND((N(Q218)+N(R218)+N(T218))&gt;=1,(N(Q218)+N(R218)+N(S218)+N(T218)+N(U218)+N(V218))=3),"中","低")))</f>
        <v/>
      </c>
      <c r="X218" s="15" t="str">
        <f aca="false">IF(L218="中位60%",IF(W218="高",3,IF(W218="中",2,IF(W218="低",1,0)))+IF(M218="◎",1,0)+IF(N218="◎",1,0)+IF(O218="○",1,0)+IF(P218="○",1,0),"")</f>
        <v/>
      </c>
      <c r="Y218" s="20"/>
      <c r="Z218" s="18"/>
      <c r="AA218" s="20"/>
      <c r="AB218" s="20"/>
    </row>
    <row r="219" customFormat="false" ht="15" hidden="false" customHeight="false" outlineLevel="0" collapsed="false">
      <c r="A219" s="13" t="s">
        <v>519</v>
      </c>
      <c r="B219" s="14" t="s">
        <v>520</v>
      </c>
      <c r="C219" s="15" t="s">
        <v>406</v>
      </c>
      <c r="D219" s="15" t="n">
        <v>12</v>
      </c>
      <c r="E219" s="14" t="s">
        <v>91</v>
      </c>
      <c r="F219" s="15" t="s">
        <v>80</v>
      </c>
      <c r="G219" s="14"/>
      <c r="H219" s="17" t="n">
        <v>1</v>
      </c>
      <c r="I219" s="18"/>
      <c r="J219" s="15" t="n">
        <f aca="false">IF(AND(H219=1,N(I219)&gt;0),1,0)</f>
        <v>0</v>
      </c>
      <c r="K219" s="15" t="str">
        <f aca="false">IF(J219=1,SUMPRODUCT(($J$5:$J$312=1)*(N($I$5:$I$312)&gt;N(I219)))+1,"")</f>
        <v/>
      </c>
      <c r="L219" s="15" t="str">
        <f aca="false">IF(J219&lt;&gt;1,"",IF(K219&lt;=ROUND(SUM($J$5:$J$312)*0.2,0),"上位20%",IF(K219&lt;=ROUND(SUM($J$5:$J$312)*0.8,0),"中位60%","下位20%")))</f>
        <v/>
      </c>
      <c r="M219" s="15" t="str">
        <f aca="false">IF(F219="あり","◎","")</f>
        <v/>
      </c>
      <c r="N219" s="15" t="str">
        <f aca="false">IF(OR(LEFT(G219,1)="A",LEFT(G219,1)="B"),"◎","")</f>
        <v/>
      </c>
      <c r="O219" s="19"/>
      <c r="P219" s="19"/>
      <c r="Q219" s="19"/>
      <c r="R219" s="19"/>
      <c r="S219" s="19"/>
      <c r="T219" s="19"/>
      <c r="U219" s="19"/>
      <c r="V219" s="19"/>
      <c r="W219" s="15" t="str">
        <f aca="false">IF((N(Q219)+N(R219)+N(S219)+N(T219)+N(U219)+N(V219))=0,"",IF(AND((N(Q219)+N(R219)+N(T219))&gt;=2,(N(Q219)+N(R219)+N(S219)+N(T219)+N(U219)+N(V219))&gt;=4),"高",IF(AND((N(Q219)+N(R219)+N(T219))&gt;=1,(N(Q219)+N(R219)+N(S219)+N(T219)+N(U219)+N(V219))=3),"中","低")))</f>
        <v/>
      </c>
      <c r="X219" s="15" t="str">
        <f aca="false">IF(L219="中位60%",IF(W219="高",3,IF(W219="中",2,IF(W219="低",1,0)))+IF(M219="◎",1,0)+IF(N219="◎",1,0)+IF(O219="○",1,0)+IF(P219="○",1,0),"")</f>
        <v/>
      </c>
      <c r="Y219" s="20"/>
      <c r="Z219" s="18"/>
      <c r="AA219" s="20"/>
      <c r="AB219" s="20"/>
    </row>
    <row r="220" customFormat="false" ht="15" hidden="false" customHeight="false" outlineLevel="0" collapsed="false">
      <c r="A220" s="13" t="s">
        <v>521</v>
      </c>
      <c r="B220" s="14" t="s">
        <v>522</v>
      </c>
      <c r="C220" s="15" t="s">
        <v>406</v>
      </c>
      <c r="D220" s="15" t="n">
        <v>12</v>
      </c>
      <c r="E220" s="14" t="s">
        <v>91</v>
      </c>
      <c r="F220" s="15" t="s">
        <v>80</v>
      </c>
      <c r="G220" s="14"/>
      <c r="H220" s="17" t="n">
        <v>1</v>
      </c>
      <c r="I220" s="18"/>
      <c r="J220" s="15" t="n">
        <f aca="false">IF(AND(H220=1,N(I220)&gt;0),1,0)</f>
        <v>0</v>
      </c>
      <c r="K220" s="15" t="str">
        <f aca="false">IF(J220=1,SUMPRODUCT(($J$5:$J$312=1)*(N($I$5:$I$312)&gt;N(I220)))+1,"")</f>
        <v/>
      </c>
      <c r="L220" s="15" t="str">
        <f aca="false">IF(J220&lt;&gt;1,"",IF(K220&lt;=ROUND(SUM($J$5:$J$312)*0.2,0),"上位20%",IF(K220&lt;=ROUND(SUM($J$5:$J$312)*0.8,0),"中位60%","下位20%")))</f>
        <v/>
      </c>
      <c r="M220" s="15" t="str">
        <f aca="false">IF(F220="あり","◎","")</f>
        <v/>
      </c>
      <c r="N220" s="15" t="str">
        <f aca="false">IF(OR(LEFT(G220,1)="A",LEFT(G220,1)="B"),"◎","")</f>
        <v/>
      </c>
      <c r="O220" s="19"/>
      <c r="P220" s="19"/>
      <c r="Q220" s="19"/>
      <c r="R220" s="19"/>
      <c r="S220" s="19"/>
      <c r="T220" s="19"/>
      <c r="U220" s="19"/>
      <c r="V220" s="19"/>
      <c r="W220" s="15" t="str">
        <f aca="false">IF((N(Q220)+N(R220)+N(S220)+N(T220)+N(U220)+N(V220))=0,"",IF(AND((N(Q220)+N(R220)+N(T220))&gt;=2,(N(Q220)+N(R220)+N(S220)+N(T220)+N(U220)+N(V220))&gt;=4),"高",IF(AND((N(Q220)+N(R220)+N(T220))&gt;=1,(N(Q220)+N(R220)+N(S220)+N(T220)+N(U220)+N(V220))=3),"中","低")))</f>
        <v/>
      </c>
      <c r="X220" s="15" t="str">
        <f aca="false">IF(L220="中位60%",IF(W220="高",3,IF(W220="中",2,IF(W220="低",1,0)))+IF(M220="◎",1,0)+IF(N220="◎",1,0)+IF(O220="○",1,0)+IF(P220="○",1,0),"")</f>
        <v/>
      </c>
      <c r="Y220" s="20"/>
      <c r="Z220" s="18"/>
      <c r="AA220" s="20"/>
      <c r="AB220" s="20"/>
    </row>
    <row r="221" customFormat="false" ht="15" hidden="false" customHeight="false" outlineLevel="0" collapsed="false">
      <c r="A221" s="13" t="s">
        <v>523</v>
      </c>
      <c r="B221" s="14" t="s">
        <v>524</v>
      </c>
      <c r="C221" s="15" t="s">
        <v>406</v>
      </c>
      <c r="D221" s="15" t="n">
        <v>12</v>
      </c>
      <c r="E221" s="14"/>
      <c r="F221" s="15" t="s">
        <v>80</v>
      </c>
      <c r="G221" s="14"/>
      <c r="H221" s="17" t="n">
        <v>1</v>
      </c>
      <c r="I221" s="18"/>
      <c r="J221" s="15" t="n">
        <f aca="false">IF(AND(H221=1,N(I221)&gt;0),1,0)</f>
        <v>0</v>
      </c>
      <c r="K221" s="15" t="str">
        <f aca="false">IF(J221=1,SUMPRODUCT(($J$5:$J$312=1)*(N($I$5:$I$312)&gt;N(I221)))+1,"")</f>
        <v/>
      </c>
      <c r="L221" s="15" t="str">
        <f aca="false">IF(J221&lt;&gt;1,"",IF(K221&lt;=ROUND(SUM($J$5:$J$312)*0.2,0),"上位20%",IF(K221&lt;=ROUND(SUM($J$5:$J$312)*0.8,0),"中位60%","下位20%")))</f>
        <v/>
      </c>
      <c r="M221" s="15" t="str">
        <f aca="false">IF(F221="あり","◎","")</f>
        <v/>
      </c>
      <c r="N221" s="15" t="str">
        <f aca="false">IF(OR(LEFT(G221,1)="A",LEFT(G221,1)="B"),"◎","")</f>
        <v/>
      </c>
      <c r="O221" s="19"/>
      <c r="P221" s="19"/>
      <c r="Q221" s="19"/>
      <c r="R221" s="19"/>
      <c r="S221" s="19"/>
      <c r="T221" s="19"/>
      <c r="U221" s="19"/>
      <c r="V221" s="19"/>
      <c r="W221" s="15" t="str">
        <f aca="false">IF((N(Q221)+N(R221)+N(S221)+N(T221)+N(U221)+N(V221))=0,"",IF(AND((N(Q221)+N(R221)+N(T221))&gt;=2,(N(Q221)+N(R221)+N(S221)+N(T221)+N(U221)+N(V221))&gt;=4),"高",IF(AND((N(Q221)+N(R221)+N(T221))&gt;=1,(N(Q221)+N(R221)+N(S221)+N(T221)+N(U221)+N(V221))=3),"中","低")))</f>
        <v/>
      </c>
      <c r="X221" s="15" t="str">
        <f aca="false">IF(L221="中位60%",IF(W221="高",3,IF(W221="中",2,IF(W221="低",1,0)))+IF(M221="◎",1,0)+IF(N221="◎",1,0)+IF(O221="○",1,0)+IF(P221="○",1,0),"")</f>
        <v/>
      </c>
      <c r="Y221" s="20"/>
      <c r="Z221" s="18"/>
      <c r="AA221" s="20"/>
      <c r="AB221" s="20"/>
    </row>
    <row r="222" customFormat="false" ht="15" hidden="false" customHeight="false" outlineLevel="0" collapsed="false">
      <c r="A222" s="13" t="s">
        <v>525</v>
      </c>
      <c r="B222" s="14" t="s">
        <v>526</v>
      </c>
      <c r="C222" s="15" t="s">
        <v>406</v>
      </c>
      <c r="D222" s="15" t="n">
        <v>12</v>
      </c>
      <c r="E222" s="14" t="s">
        <v>527</v>
      </c>
      <c r="F222" s="15" t="s">
        <v>80</v>
      </c>
      <c r="G222" s="14"/>
      <c r="H222" s="17" t="n">
        <v>1</v>
      </c>
      <c r="I222" s="18"/>
      <c r="J222" s="15" t="n">
        <f aca="false">IF(AND(H222=1,N(I222)&gt;0),1,0)</f>
        <v>0</v>
      </c>
      <c r="K222" s="15" t="str">
        <f aca="false">IF(J222=1,SUMPRODUCT(($J$5:$J$312=1)*(N($I$5:$I$312)&gt;N(I222)))+1,"")</f>
        <v/>
      </c>
      <c r="L222" s="15" t="str">
        <f aca="false">IF(J222&lt;&gt;1,"",IF(K222&lt;=ROUND(SUM($J$5:$J$312)*0.2,0),"上位20%",IF(K222&lt;=ROUND(SUM($J$5:$J$312)*0.8,0),"中位60%","下位20%")))</f>
        <v/>
      </c>
      <c r="M222" s="15" t="str">
        <f aca="false">IF(F222="あり","◎","")</f>
        <v/>
      </c>
      <c r="N222" s="15" t="str">
        <f aca="false">IF(OR(LEFT(G222,1)="A",LEFT(G222,1)="B"),"◎","")</f>
        <v/>
      </c>
      <c r="O222" s="19"/>
      <c r="P222" s="19"/>
      <c r="Q222" s="19"/>
      <c r="R222" s="19"/>
      <c r="S222" s="19"/>
      <c r="T222" s="19"/>
      <c r="U222" s="19"/>
      <c r="V222" s="19"/>
      <c r="W222" s="15" t="str">
        <f aca="false">IF((N(Q222)+N(R222)+N(S222)+N(T222)+N(U222)+N(V222))=0,"",IF(AND((N(Q222)+N(R222)+N(T222))&gt;=2,(N(Q222)+N(R222)+N(S222)+N(T222)+N(U222)+N(V222))&gt;=4),"高",IF(AND((N(Q222)+N(R222)+N(T222))&gt;=1,(N(Q222)+N(R222)+N(S222)+N(T222)+N(U222)+N(V222))=3),"中","低")))</f>
        <v/>
      </c>
      <c r="X222" s="15" t="str">
        <f aca="false">IF(L222="中位60%",IF(W222="高",3,IF(W222="中",2,IF(W222="低",1,0)))+IF(M222="◎",1,0)+IF(N222="◎",1,0)+IF(O222="○",1,0)+IF(P222="○",1,0),"")</f>
        <v/>
      </c>
      <c r="Y222" s="20"/>
      <c r="Z222" s="18"/>
      <c r="AA222" s="20"/>
      <c r="AB222" s="20"/>
    </row>
    <row r="223" customFormat="false" ht="15" hidden="false" customHeight="false" outlineLevel="0" collapsed="false">
      <c r="A223" s="13" t="s">
        <v>528</v>
      </c>
      <c r="B223" s="14" t="s">
        <v>529</v>
      </c>
      <c r="C223" s="15" t="s">
        <v>406</v>
      </c>
      <c r="D223" s="15" t="n">
        <v>12</v>
      </c>
      <c r="E223" s="14" t="s">
        <v>530</v>
      </c>
      <c r="F223" s="15" t="s">
        <v>80</v>
      </c>
      <c r="G223" s="14"/>
      <c r="H223" s="17" t="n">
        <v>1</v>
      </c>
      <c r="I223" s="18"/>
      <c r="J223" s="15" t="n">
        <f aca="false">IF(AND(H223=1,N(I223)&gt;0),1,0)</f>
        <v>0</v>
      </c>
      <c r="K223" s="15" t="str">
        <f aca="false">IF(J223=1,SUMPRODUCT(($J$5:$J$312=1)*(N($I$5:$I$312)&gt;N(I223)))+1,"")</f>
        <v/>
      </c>
      <c r="L223" s="15" t="str">
        <f aca="false">IF(J223&lt;&gt;1,"",IF(K223&lt;=ROUND(SUM($J$5:$J$312)*0.2,0),"上位20%",IF(K223&lt;=ROUND(SUM($J$5:$J$312)*0.8,0),"中位60%","下位20%")))</f>
        <v/>
      </c>
      <c r="M223" s="15" t="str">
        <f aca="false">IF(F223="あり","◎","")</f>
        <v/>
      </c>
      <c r="N223" s="15" t="str">
        <f aca="false">IF(OR(LEFT(G223,1)="A",LEFT(G223,1)="B"),"◎","")</f>
        <v/>
      </c>
      <c r="O223" s="19"/>
      <c r="P223" s="19"/>
      <c r="Q223" s="19"/>
      <c r="R223" s="19"/>
      <c r="S223" s="19"/>
      <c r="T223" s="19"/>
      <c r="U223" s="19"/>
      <c r="V223" s="19"/>
      <c r="W223" s="15" t="str">
        <f aca="false">IF((N(Q223)+N(R223)+N(S223)+N(T223)+N(U223)+N(V223))=0,"",IF(AND((N(Q223)+N(R223)+N(T223))&gt;=2,(N(Q223)+N(R223)+N(S223)+N(T223)+N(U223)+N(V223))&gt;=4),"高",IF(AND((N(Q223)+N(R223)+N(T223))&gt;=1,(N(Q223)+N(R223)+N(S223)+N(T223)+N(U223)+N(V223))=3),"中","低")))</f>
        <v/>
      </c>
      <c r="X223" s="15" t="str">
        <f aca="false">IF(L223="中位60%",IF(W223="高",3,IF(W223="中",2,IF(W223="低",1,0)))+IF(M223="◎",1,0)+IF(N223="◎",1,0)+IF(O223="○",1,0)+IF(P223="○",1,0),"")</f>
        <v/>
      </c>
      <c r="Y223" s="20"/>
      <c r="Z223" s="18"/>
      <c r="AA223" s="20"/>
      <c r="AB223" s="20"/>
    </row>
    <row r="224" customFormat="false" ht="15" hidden="false" customHeight="false" outlineLevel="0" collapsed="false">
      <c r="A224" s="13" t="s">
        <v>531</v>
      </c>
      <c r="B224" s="14" t="s">
        <v>532</v>
      </c>
      <c r="C224" s="15" t="s">
        <v>406</v>
      </c>
      <c r="D224" s="15" t="n">
        <v>12</v>
      </c>
      <c r="E224" s="14" t="s">
        <v>530</v>
      </c>
      <c r="F224" s="15" t="s">
        <v>80</v>
      </c>
      <c r="G224" s="14"/>
      <c r="H224" s="17" t="n">
        <v>1</v>
      </c>
      <c r="I224" s="18"/>
      <c r="J224" s="15" t="n">
        <f aca="false">IF(AND(H224=1,N(I224)&gt;0),1,0)</f>
        <v>0</v>
      </c>
      <c r="K224" s="15" t="str">
        <f aca="false">IF(J224=1,SUMPRODUCT(($J$5:$J$312=1)*(N($I$5:$I$312)&gt;N(I224)))+1,"")</f>
        <v/>
      </c>
      <c r="L224" s="15" t="str">
        <f aca="false">IF(J224&lt;&gt;1,"",IF(K224&lt;=ROUND(SUM($J$5:$J$312)*0.2,0),"上位20%",IF(K224&lt;=ROUND(SUM($J$5:$J$312)*0.8,0),"中位60%","下位20%")))</f>
        <v/>
      </c>
      <c r="M224" s="15" t="str">
        <f aca="false">IF(F224="あり","◎","")</f>
        <v/>
      </c>
      <c r="N224" s="15" t="str">
        <f aca="false">IF(OR(LEFT(G224,1)="A",LEFT(G224,1)="B"),"◎","")</f>
        <v/>
      </c>
      <c r="O224" s="19"/>
      <c r="P224" s="19"/>
      <c r="Q224" s="19"/>
      <c r="R224" s="19"/>
      <c r="S224" s="19"/>
      <c r="T224" s="19"/>
      <c r="U224" s="19"/>
      <c r="V224" s="19"/>
      <c r="W224" s="15" t="str">
        <f aca="false">IF((N(Q224)+N(R224)+N(S224)+N(T224)+N(U224)+N(V224))=0,"",IF(AND((N(Q224)+N(R224)+N(T224))&gt;=2,(N(Q224)+N(R224)+N(S224)+N(T224)+N(U224)+N(V224))&gt;=4),"高",IF(AND((N(Q224)+N(R224)+N(T224))&gt;=1,(N(Q224)+N(R224)+N(S224)+N(T224)+N(U224)+N(V224))=3),"中","低")))</f>
        <v/>
      </c>
      <c r="X224" s="15" t="str">
        <f aca="false">IF(L224="中位60%",IF(W224="高",3,IF(W224="中",2,IF(W224="低",1,0)))+IF(M224="◎",1,0)+IF(N224="◎",1,0)+IF(O224="○",1,0)+IF(P224="○",1,0),"")</f>
        <v/>
      </c>
      <c r="Y224" s="20"/>
      <c r="Z224" s="18"/>
      <c r="AA224" s="20"/>
      <c r="AB224" s="20"/>
    </row>
    <row r="225" customFormat="false" ht="15" hidden="false" customHeight="false" outlineLevel="0" collapsed="false">
      <c r="A225" s="13" t="s">
        <v>533</v>
      </c>
      <c r="B225" s="14" t="s">
        <v>534</v>
      </c>
      <c r="C225" s="15" t="s">
        <v>406</v>
      </c>
      <c r="D225" s="15" t="n">
        <v>12</v>
      </c>
      <c r="E225" s="14" t="s">
        <v>530</v>
      </c>
      <c r="F225" s="15" t="s">
        <v>80</v>
      </c>
      <c r="G225" s="14"/>
      <c r="H225" s="17" t="n">
        <v>1</v>
      </c>
      <c r="I225" s="18"/>
      <c r="J225" s="15" t="n">
        <f aca="false">IF(AND(H225=1,N(I225)&gt;0),1,0)</f>
        <v>0</v>
      </c>
      <c r="K225" s="15" t="str">
        <f aca="false">IF(J225=1,SUMPRODUCT(($J$5:$J$312=1)*(N($I$5:$I$312)&gt;N(I225)))+1,"")</f>
        <v/>
      </c>
      <c r="L225" s="15" t="str">
        <f aca="false">IF(J225&lt;&gt;1,"",IF(K225&lt;=ROUND(SUM($J$5:$J$312)*0.2,0),"上位20%",IF(K225&lt;=ROUND(SUM($J$5:$J$312)*0.8,0),"中位60%","下位20%")))</f>
        <v/>
      </c>
      <c r="M225" s="15" t="str">
        <f aca="false">IF(F225="あり","◎","")</f>
        <v/>
      </c>
      <c r="N225" s="15" t="str">
        <f aca="false">IF(OR(LEFT(G225,1)="A",LEFT(G225,1)="B"),"◎","")</f>
        <v/>
      </c>
      <c r="O225" s="19"/>
      <c r="P225" s="19"/>
      <c r="Q225" s="19"/>
      <c r="R225" s="19"/>
      <c r="S225" s="19"/>
      <c r="T225" s="19"/>
      <c r="U225" s="19"/>
      <c r="V225" s="19"/>
      <c r="W225" s="15" t="str">
        <f aca="false">IF((N(Q225)+N(R225)+N(S225)+N(T225)+N(U225)+N(V225))=0,"",IF(AND((N(Q225)+N(R225)+N(T225))&gt;=2,(N(Q225)+N(R225)+N(S225)+N(T225)+N(U225)+N(V225))&gt;=4),"高",IF(AND((N(Q225)+N(R225)+N(T225))&gt;=1,(N(Q225)+N(R225)+N(S225)+N(T225)+N(U225)+N(V225))=3),"中","低")))</f>
        <v/>
      </c>
      <c r="X225" s="15" t="str">
        <f aca="false">IF(L225="中位60%",IF(W225="高",3,IF(W225="中",2,IF(W225="低",1,0)))+IF(M225="◎",1,0)+IF(N225="◎",1,0)+IF(O225="○",1,0)+IF(P225="○",1,0),"")</f>
        <v/>
      </c>
      <c r="Y225" s="20"/>
      <c r="Z225" s="18"/>
      <c r="AA225" s="20"/>
      <c r="AB225" s="20"/>
    </row>
    <row r="226" customFormat="false" ht="15" hidden="false" customHeight="false" outlineLevel="0" collapsed="false">
      <c r="A226" s="13" t="s">
        <v>535</v>
      </c>
      <c r="B226" s="14" t="s">
        <v>536</v>
      </c>
      <c r="C226" s="15" t="s">
        <v>406</v>
      </c>
      <c r="D226" s="15" t="n">
        <v>12</v>
      </c>
      <c r="E226" s="14" t="s">
        <v>83</v>
      </c>
      <c r="F226" s="15" t="s">
        <v>63</v>
      </c>
      <c r="G226" s="14"/>
      <c r="H226" s="17" t="n">
        <v>1</v>
      </c>
      <c r="I226" s="18"/>
      <c r="J226" s="15" t="n">
        <f aca="false">IF(AND(H226=1,N(I226)&gt;0),1,0)</f>
        <v>0</v>
      </c>
      <c r="K226" s="15" t="str">
        <f aca="false">IF(J226=1,SUMPRODUCT(($J$5:$J$312=1)*(N($I$5:$I$312)&gt;N(I226)))+1,"")</f>
        <v/>
      </c>
      <c r="L226" s="15" t="str">
        <f aca="false">IF(J226&lt;&gt;1,"",IF(K226&lt;=ROUND(SUM($J$5:$J$312)*0.2,0),"上位20%",IF(K226&lt;=ROUND(SUM($J$5:$J$312)*0.8,0),"中位60%","下位20%")))</f>
        <v/>
      </c>
      <c r="M226" s="15" t="str">
        <f aca="false">IF(F226="あり","◎","")</f>
        <v>◎</v>
      </c>
      <c r="N226" s="15" t="str">
        <f aca="false">IF(OR(LEFT(G226,1)="A",LEFT(G226,1)="B"),"◎","")</f>
        <v/>
      </c>
      <c r="O226" s="19"/>
      <c r="P226" s="19"/>
      <c r="Q226" s="19"/>
      <c r="R226" s="19"/>
      <c r="S226" s="19"/>
      <c r="T226" s="19"/>
      <c r="U226" s="19"/>
      <c r="V226" s="19"/>
      <c r="W226" s="15" t="str">
        <f aca="false">IF((N(Q226)+N(R226)+N(S226)+N(T226)+N(U226)+N(V226))=0,"",IF(AND((N(Q226)+N(R226)+N(T226))&gt;=2,(N(Q226)+N(R226)+N(S226)+N(T226)+N(U226)+N(V226))&gt;=4),"高",IF(AND((N(Q226)+N(R226)+N(T226))&gt;=1,(N(Q226)+N(R226)+N(S226)+N(T226)+N(U226)+N(V226))=3),"中","低")))</f>
        <v/>
      </c>
      <c r="X226" s="15" t="str">
        <f aca="false">IF(L226="中位60%",IF(W226="高",3,IF(W226="中",2,IF(W226="低",1,0)))+IF(M226="◎",1,0)+IF(N226="◎",1,0)+IF(O226="○",1,0)+IF(P226="○",1,0),"")</f>
        <v/>
      </c>
      <c r="Y226" s="20"/>
      <c r="Z226" s="18"/>
      <c r="AA226" s="20"/>
      <c r="AB226" s="20"/>
    </row>
    <row r="227" customFormat="false" ht="15" hidden="false" customHeight="false" outlineLevel="0" collapsed="false">
      <c r="A227" s="13" t="s">
        <v>537</v>
      </c>
      <c r="B227" s="14" t="s">
        <v>538</v>
      </c>
      <c r="C227" s="15" t="s">
        <v>406</v>
      </c>
      <c r="D227" s="15" t="n">
        <v>12</v>
      </c>
      <c r="E227" s="14" t="s">
        <v>75</v>
      </c>
      <c r="F227" s="15" t="s">
        <v>80</v>
      </c>
      <c r="G227" s="14"/>
      <c r="H227" s="17" t="n">
        <v>1</v>
      </c>
      <c r="I227" s="18"/>
      <c r="J227" s="15" t="n">
        <f aca="false">IF(AND(H227=1,N(I227)&gt;0),1,0)</f>
        <v>0</v>
      </c>
      <c r="K227" s="15" t="str">
        <f aca="false">IF(J227=1,SUMPRODUCT(($J$5:$J$312=1)*(N($I$5:$I$312)&gt;N(I227)))+1,"")</f>
        <v/>
      </c>
      <c r="L227" s="15" t="str">
        <f aca="false">IF(J227&lt;&gt;1,"",IF(K227&lt;=ROUND(SUM($J$5:$J$312)*0.2,0),"上位20%",IF(K227&lt;=ROUND(SUM($J$5:$J$312)*0.8,0),"中位60%","下位20%")))</f>
        <v/>
      </c>
      <c r="M227" s="15" t="str">
        <f aca="false">IF(F227="あり","◎","")</f>
        <v/>
      </c>
      <c r="N227" s="15" t="str">
        <f aca="false">IF(OR(LEFT(G227,1)="A",LEFT(G227,1)="B"),"◎","")</f>
        <v/>
      </c>
      <c r="O227" s="19"/>
      <c r="P227" s="19"/>
      <c r="Q227" s="19"/>
      <c r="R227" s="19"/>
      <c r="S227" s="19"/>
      <c r="T227" s="19"/>
      <c r="U227" s="19"/>
      <c r="V227" s="19"/>
      <c r="W227" s="15" t="str">
        <f aca="false">IF((N(Q227)+N(R227)+N(S227)+N(T227)+N(U227)+N(V227))=0,"",IF(AND((N(Q227)+N(R227)+N(T227))&gt;=2,(N(Q227)+N(R227)+N(S227)+N(T227)+N(U227)+N(V227))&gt;=4),"高",IF(AND((N(Q227)+N(R227)+N(T227))&gt;=1,(N(Q227)+N(R227)+N(S227)+N(T227)+N(U227)+N(V227))=3),"中","低")))</f>
        <v/>
      </c>
      <c r="X227" s="15" t="str">
        <f aca="false">IF(L227="中位60%",IF(W227="高",3,IF(W227="中",2,IF(W227="低",1,0)))+IF(M227="◎",1,0)+IF(N227="◎",1,0)+IF(O227="○",1,0)+IF(P227="○",1,0),"")</f>
        <v/>
      </c>
      <c r="Y227" s="20"/>
      <c r="Z227" s="18"/>
      <c r="AA227" s="20"/>
      <c r="AB227" s="20"/>
    </row>
    <row r="228" customFormat="false" ht="15" hidden="false" customHeight="false" outlineLevel="0" collapsed="false">
      <c r="A228" s="13" t="s">
        <v>539</v>
      </c>
      <c r="B228" s="14" t="s">
        <v>540</v>
      </c>
      <c r="C228" s="15" t="s">
        <v>406</v>
      </c>
      <c r="D228" s="15" t="n">
        <v>12</v>
      </c>
      <c r="E228" s="14" t="s">
        <v>101</v>
      </c>
      <c r="F228" s="15" t="s">
        <v>80</v>
      </c>
      <c r="G228" s="14"/>
      <c r="H228" s="17" t="n">
        <v>1</v>
      </c>
      <c r="I228" s="18"/>
      <c r="J228" s="15" t="n">
        <f aca="false">IF(AND(H228=1,N(I228)&gt;0),1,0)</f>
        <v>0</v>
      </c>
      <c r="K228" s="15" t="str">
        <f aca="false">IF(J228=1,SUMPRODUCT(($J$5:$J$312=1)*(N($I$5:$I$312)&gt;N(I228)))+1,"")</f>
        <v/>
      </c>
      <c r="L228" s="15" t="str">
        <f aca="false">IF(J228&lt;&gt;1,"",IF(K228&lt;=ROUND(SUM($J$5:$J$312)*0.2,0),"上位20%",IF(K228&lt;=ROUND(SUM($J$5:$J$312)*0.8,0),"中位60%","下位20%")))</f>
        <v/>
      </c>
      <c r="M228" s="15" t="str">
        <f aca="false">IF(F228="あり","◎","")</f>
        <v/>
      </c>
      <c r="N228" s="15" t="str">
        <f aca="false">IF(OR(LEFT(G228,1)="A",LEFT(G228,1)="B"),"◎","")</f>
        <v/>
      </c>
      <c r="O228" s="19"/>
      <c r="P228" s="19"/>
      <c r="Q228" s="19"/>
      <c r="R228" s="19"/>
      <c r="S228" s="19"/>
      <c r="T228" s="19"/>
      <c r="U228" s="19"/>
      <c r="V228" s="19"/>
      <c r="W228" s="15" t="str">
        <f aca="false">IF((N(Q228)+N(R228)+N(S228)+N(T228)+N(U228)+N(V228))=0,"",IF(AND((N(Q228)+N(R228)+N(T228))&gt;=2,(N(Q228)+N(R228)+N(S228)+N(T228)+N(U228)+N(V228))&gt;=4),"高",IF(AND((N(Q228)+N(R228)+N(T228))&gt;=1,(N(Q228)+N(R228)+N(S228)+N(T228)+N(U228)+N(V228))=3),"中","低")))</f>
        <v/>
      </c>
      <c r="X228" s="15" t="str">
        <f aca="false">IF(L228="中位60%",IF(W228="高",3,IF(W228="中",2,IF(W228="低",1,0)))+IF(M228="◎",1,0)+IF(N228="◎",1,0)+IF(O228="○",1,0)+IF(P228="○",1,0),"")</f>
        <v/>
      </c>
      <c r="Y228" s="20"/>
      <c r="Z228" s="18"/>
      <c r="AA228" s="20"/>
      <c r="AB228" s="20"/>
    </row>
    <row r="229" customFormat="false" ht="15" hidden="false" customHeight="false" outlineLevel="0" collapsed="false">
      <c r="A229" s="13" t="s">
        <v>541</v>
      </c>
      <c r="B229" s="14" t="s">
        <v>542</v>
      </c>
      <c r="C229" s="15" t="s">
        <v>406</v>
      </c>
      <c r="D229" s="15" t="n">
        <v>12</v>
      </c>
      <c r="E229" s="14" t="s">
        <v>101</v>
      </c>
      <c r="F229" s="15" t="s">
        <v>80</v>
      </c>
      <c r="G229" s="14"/>
      <c r="H229" s="17" t="n">
        <v>1</v>
      </c>
      <c r="I229" s="18"/>
      <c r="J229" s="15" t="n">
        <f aca="false">IF(AND(H229=1,N(I229)&gt;0),1,0)</f>
        <v>0</v>
      </c>
      <c r="K229" s="15" t="str">
        <f aca="false">IF(J229=1,SUMPRODUCT(($J$5:$J$312=1)*(N($I$5:$I$312)&gt;N(I229)))+1,"")</f>
        <v/>
      </c>
      <c r="L229" s="15" t="str">
        <f aca="false">IF(J229&lt;&gt;1,"",IF(K229&lt;=ROUND(SUM($J$5:$J$312)*0.2,0),"上位20%",IF(K229&lt;=ROUND(SUM($J$5:$J$312)*0.8,0),"中位60%","下位20%")))</f>
        <v/>
      </c>
      <c r="M229" s="15" t="str">
        <f aca="false">IF(F229="あり","◎","")</f>
        <v/>
      </c>
      <c r="N229" s="15" t="str">
        <f aca="false">IF(OR(LEFT(G229,1)="A",LEFT(G229,1)="B"),"◎","")</f>
        <v/>
      </c>
      <c r="O229" s="19"/>
      <c r="P229" s="19"/>
      <c r="Q229" s="19"/>
      <c r="R229" s="19"/>
      <c r="S229" s="19"/>
      <c r="T229" s="19"/>
      <c r="U229" s="19"/>
      <c r="V229" s="19"/>
      <c r="W229" s="15" t="str">
        <f aca="false">IF((N(Q229)+N(R229)+N(S229)+N(T229)+N(U229)+N(V229))=0,"",IF(AND((N(Q229)+N(R229)+N(T229))&gt;=2,(N(Q229)+N(R229)+N(S229)+N(T229)+N(U229)+N(V229))&gt;=4),"高",IF(AND((N(Q229)+N(R229)+N(T229))&gt;=1,(N(Q229)+N(R229)+N(S229)+N(T229)+N(U229)+N(V229))=3),"中","低")))</f>
        <v/>
      </c>
      <c r="X229" s="15" t="str">
        <f aca="false">IF(L229="中位60%",IF(W229="高",3,IF(W229="中",2,IF(W229="低",1,0)))+IF(M229="◎",1,0)+IF(N229="◎",1,0)+IF(O229="○",1,0)+IF(P229="○",1,0),"")</f>
        <v/>
      </c>
      <c r="Y229" s="20"/>
      <c r="Z229" s="18"/>
      <c r="AA229" s="20"/>
      <c r="AB229" s="20"/>
    </row>
    <row r="230" customFormat="false" ht="15" hidden="false" customHeight="false" outlineLevel="0" collapsed="false">
      <c r="A230" s="13" t="s">
        <v>543</v>
      </c>
      <c r="B230" s="14" t="s">
        <v>544</v>
      </c>
      <c r="C230" s="15" t="s">
        <v>406</v>
      </c>
      <c r="D230" s="15" t="n">
        <v>12</v>
      </c>
      <c r="E230" s="14"/>
      <c r="F230" s="15" t="s">
        <v>80</v>
      </c>
      <c r="G230" s="14"/>
      <c r="H230" s="17" t="n">
        <v>1</v>
      </c>
      <c r="I230" s="18"/>
      <c r="J230" s="15" t="n">
        <f aca="false">IF(AND(H230=1,N(I230)&gt;0),1,0)</f>
        <v>0</v>
      </c>
      <c r="K230" s="15" t="str">
        <f aca="false">IF(J230=1,SUMPRODUCT(($J$5:$J$312=1)*(N($I$5:$I$312)&gt;N(I230)))+1,"")</f>
        <v/>
      </c>
      <c r="L230" s="15" t="str">
        <f aca="false">IF(J230&lt;&gt;1,"",IF(K230&lt;=ROUND(SUM($J$5:$J$312)*0.2,0),"上位20%",IF(K230&lt;=ROUND(SUM($J$5:$J$312)*0.8,0),"中位60%","下位20%")))</f>
        <v/>
      </c>
      <c r="M230" s="15" t="str">
        <f aca="false">IF(F230="あり","◎","")</f>
        <v/>
      </c>
      <c r="N230" s="15" t="str">
        <f aca="false">IF(OR(LEFT(G230,1)="A",LEFT(G230,1)="B"),"◎","")</f>
        <v/>
      </c>
      <c r="O230" s="19"/>
      <c r="P230" s="19"/>
      <c r="Q230" s="19"/>
      <c r="R230" s="19"/>
      <c r="S230" s="19"/>
      <c r="T230" s="19"/>
      <c r="U230" s="19"/>
      <c r="V230" s="19"/>
      <c r="W230" s="15" t="str">
        <f aca="false">IF((N(Q230)+N(R230)+N(S230)+N(T230)+N(U230)+N(V230))=0,"",IF(AND((N(Q230)+N(R230)+N(T230))&gt;=2,(N(Q230)+N(R230)+N(S230)+N(T230)+N(U230)+N(V230))&gt;=4),"高",IF(AND((N(Q230)+N(R230)+N(T230))&gt;=1,(N(Q230)+N(R230)+N(S230)+N(T230)+N(U230)+N(V230))=3),"中","低")))</f>
        <v/>
      </c>
      <c r="X230" s="15" t="str">
        <f aca="false">IF(L230="中位60%",IF(W230="高",3,IF(W230="中",2,IF(W230="低",1,0)))+IF(M230="◎",1,0)+IF(N230="◎",1,0)+IF(O230="○",1,0)+IF(P230="○",1,0),"")</f>
        <v/>
      </c>
      <c r="Y230" s="20"/>
      <c r="Z230" s="18"/>
      <c r="AA230" s="20"/>
      <c r="AB230" s="20"/>
    </row>
    <row r="231" customFormat="false" ht="15" hidden="false" customHeight="false" outlineLevel="0" collapsed="false">
      <c r="A231" s="13" t="s">
        <v>545</v>
      </c>
      <c r="B231" s="14" t="s">
        <v>546</v>
      </c>
      <c r="C231" s="15" t="s">
        <v>406</v>
      </c>
      <c r="D231" s="15" t="n">
        <v>12</v>
      </c>
      <c r="E231" s="14"/>
      <c r="F231" s="15" t="s">
        <v>80</v>
      </c>
      <c r="G231" s="14"/>
      <c r="H231" s="17" t="n">
        <v>1</v>
      </c>
      <c r="I231" s="18"/>
      <c r="J231" s="15" t="n">
        <f aca="false">IF(AND(H231=1,N(I231)&gt;0),1,0)</f>
        <v>0</v>
      </c>
      <c r="K231" s="15" t="str">
        <f aca="false">IF(J231=1,SUMPRODUCT(($J$5:$J$312=1)*(N($I$5:$I$312)&gt;N(I231)))+1,"")</f>
        <v/>
      </c>
      <c r="L231" s="15" t="str">
        <f aca="false">IF(J231&lt;&gt;1,"",IF(K231&lt;=ROUND(SUM($J$5:$J$312)*0.2,0),"上位20%",IF(K231&lt;=ROUND(SUM($J$5:$J$312)*0.8,0),"中位60%","下位20%")))</f>
        <v/>
      </c>
      <c r="M231" s="15" t="str">
        <f aca="false">IF(F231="あり","◎","")</f>
        <v/>
      </c>
      <c r="N231" s="15" t="str">
        <f aca="false">IF(OR(LEFT(G231,1)="A",LEFT(G231,1)="B"),"◎","")</f>
        <v/>
      </c>
      <c r="O231" s="19"/>
      <c r="P231" s="19"/>
      <c r="Q231" s="19"/>
      <c r="R231" s="19"/>
      <c r="S231" s="19"/>
      <c r="T231" s="19"/>
      <c r="U231" s="19"/>
      <c r="V231" s="19"/>
      <c r="W231" s="15" t="str">
        <f aca="false">IF((N(Q231)+N(R231)+N(S231)+N(T231)+N(U231)+N(V231))=0,"",IF(AND((N(Q231)+N(R231)+N(T231))&gt;=2,(N(Q231)+N(R231)+N(S231)+N(T231)+N(U231)+N(V231))&gt;=4),"高",IF(AND((N(Q231)+N(R231)+N(T231))&gt;=1,(N(Q231)+N(R231)+N(S231)+N(T231)+N(U231)+N(V231))=3),"中","低")))</f>
        <v/>
      </c>
      <c r="X231" s="15" t="str">
        <f aca="false">IF(L231="中位60%",IF(W231="高",3,IF(W231="中",2,IF(W231="低",1,0)))+IF(M231="◎",1,0)+IF(N231="◎",1,0)+IF(O231="○",1,0)+IF(P231="○",1,0),"")</f>
        <v/>
      </c>
      <c r="Y231" s="20"/>
      <c r="Z231" s="18"/>
      <c r="AA231" s="20"/>
      <c r="AB231" s="20"/>
    </row>
    <row r="232" customFormat="false" ht="15" hidden="false" customHeight="false" outlineLevel="0" collapsed="false">
      <c r="A232" s="13" t="s">
        <v>547</v>
      </c>
      <c r="B232" s="14" t="s">
        <v>548</v>
      </c>
      <c r="C232" s="15" t="s">
        <v>406</v>
      </c>
      <c r="D232" s="15" t="n">
        <v>12</v>
      </c>
      <c r="E232" s="14" t="s">
        <v>83</v>
      </c>
      <c r="F232" s="15" t="s">
        <v>80</v>
      </c>
      <c r="G232" s="14"/>
      <c r="H232" s="17" t="n">
        <v>1</v>
      </c>
      <c r="I232" s="18"/>
      <c r="J232" s="15" t="n">
        <f aca="false">IF(AND(H232=1,N(I232)&gt;0),1,0)</f>
        <v>0</v>
      </c>
      <c r="K232" s="15" t="str">
        <f aca="false">IF(J232=1,SUMPRODUCT(($J$5:$J$312=1)*(N($I$5:$I$312)&gt;N(I232)))+1,"")</f>
        <v/>
      </c>
      <c r="L232" s="15" t="str">
        <f aca="false">IF(J232&lt;&gt;1,"",IF(K232&lt;=ROUND(SUM($J$5:$J$312)*0.2,0),"上位20%",IF(K232&lt;=ROUND(SUM($J$5:$J$312)*0.8,0),"中位60%","下位20%")))</f>
        <v/>
      </c>
      <c r="M232" s="15" t="str">
        <f aca="false">IF(F232="あり","◎","")</f>
        <v/>
      </c>
      <c r="N232" s="15" t="str">
        <f aca="false">IF(OR(LEFT(G232,1)="A",LEFT(G232,1)="B"),"◎","")</f>
        <v/>
      </c>
      <c r="O232" s="19"/>
      <c r="P232" s="19"/>
      <c r="Q232" s="19"/>
      <c r="R232" s="19"/>
      <c r="S232" s="19"/>
      <c r="T232" s="19"/>
      <c r="U232" s="19"/>
      <c r="V232" s="19"/>
      <c r="W232" s="15" t="str">
        <f aca="false">IF((N(Q232)+N(R232)+N(S232)+N(T232)+N(U232)+N(V232))=0,"",IF(AND((N(Q232)+N(R232)+N(T232))&gt;=2,(N(Q232)+N(R232)+N(S232)+N(T232)+N(U232)+N(V232))&gt;=4),"高",IF(AND((N(Q232)+N(R232)+N(T232))&gt;=1,(N(Q232)+N(R232)+N(S232)+N(T232)+N(U232)+N(V232))=3),"中","低")))</f>
        <v/>
      </c>
      <c r="X232" s="15" t="str">
        <f aca="false">IF(L232="中位60%",IF(W232="高",3,IF(W232="中",2,IF(W232="低",1,0)))+IF(M232="◎",1,0)+IF(N232="◎",1,0)+IF(O232="○",1,0)+IF(P232="○",1,0),"")</f>
        <v/>
      </c>
      <c r="Y232" s="20"/>
      <c r="Z232" s="18"/>
      <c r="AA232" s="20"/>
      <c r="AB232" s="20"/>
    </row>
    <row r="233" customFormat="false" ht="15" hidden="false" customHeight="false" outlineLevel="0" collapsed="false">
      <c r="A233" s="13" t="s">
        <v>549</v>
      </c>
      <c r="B233" s="14" t="s">
        <v>550</v>
      </c>
      <c r="C233" s="15" t="s">
        <v>406</v>
      </c>
      <c r="D233" s="15" t="n">
        <v>12</v>
      </c>
      <c r="E233" s="14" t="s">
        <v>530</v>
      </c>
      <c r="F233" s="15" t="s">
        <v>63</v>
      </c>
      <c r="G233" s="14"/>
      <c r="H233" s="17" t="n">
        <v>1</v>
      </c>
      <c r="I233" s="18"/>
      <c r="J233" s="15" t="n">
        <f aca="false">IF(AND(H233=1,N(I233)&gt;0),1,0)</f>
        <v>0</v>
      </c>
      <c r="K233" s="15" t="str">
        <f aca="false">IF(J233=1,SUMPRODUCT(($J$5:$J$312=1)*(N($I$5:$I$312)&gt;N(I233)))+1,"")</f>
        <v/>
      </c>
      <c r="L233" s="15" t="str">
        <f aca="false">IF(J233&lt;&gt;1,"",IF(K233&lt;=ROUND(SUM($J$5:$J$312)*0.2,0),"上位20%",IF(K233&lt;=ROUND(SUM($J$5:$J$312)*0.8,0),"中位60%","下位20%")))</f>
        <v/>
      </c>
      <c r="M233" s="15" t="str">
        <f aca="false">IF(F233="あり","◎","")</f>
        <v>◎</v>
      </c>
      <c r="N233" s="15" t="str">
        <f aca="false">IF(OR(LEFT(G233,1)="A",LEFT(G233,1)="B"),"◎","")</f>
        <v/>
      </c>
      <c r="O233" s="19"/>
      <c r="P233" s="19"/>
      <c r="Q233" s="19"/>
      <c r="R233" s="19"/>
      <c r="S233" s="19"/>
      <c r="T233" s="19"/>
      <c r="U233" s="19"/>
      <c r="V233" s="19"/>
      <c r="W233" s="15" t="str">
        <f aca="false">IF((N(Q233)+N(R233)+N(S233)+N(T233)+N(U233)+N(V233))=0,"",IF(AND((N(Q233)+N(R233)+N(T233))&gt;=2,(N(Q233)+N(R233)+N(S233)+N(T233)+N(U233)+N(V233))&gt;=4),"高",IF(AND((N(Q233)+N(R233)+N(T233))&gt;=1,(N(Q233)+N(R233)+N(S233)+N(T233)+N(U233)+N(V233))=3),"中","低")))</f>
        <v/>
      </c>
      <c r="X233" s="15" t="str">
        <f aca="false">IF(L233="中位60%",IF(W233="高",3,IF(W233="中",2,IF(W233="低",1,0)))+IF(M233="◎",1,0)+IF(N233="◎",1,0)+IF(O233="○",1,0)+IF(P233="○",1,0),"")</f>
        <v/>
      </c>
      <c r="Y233" s="20"/>
      <c r="Z233" s="18"/>
      <c r="AA233" s="20"/>
      <c r="AB233" s="20"/>
    </row>
    <row r="234" customFormat="false" ht="15" hidden="false" customHeight="false" outlineLevel="0" collapsed="false">
      <c r="A234" s="13" t="s">
        <v>551</v>
      </c>
      <c r="B234" s="14" t="s">
        <v>552</v>
      </c>
      <c r="C234" s="15" t="s">
        <v>406</v>
      </c>
      <c r="D234" s="15" t="n">
        <v>12</v>
      </c>
      <c r="E234" s="14" t="s">
        <v>117</v>
      </c>
      <c r="F234" s="15" t="s">
        <v>80</v>
      </c>
      <c r="G234" s="14"/>
      <c r="H234" s="17" t="n">
        <v>1</v>
      </c>
      <c r="I234" s="18"/>
      <c r="J234" s="15" t="n">
        <f aca="false">IF(AND(H234=1,N(I234)&gt;0),1,0)</f>
        <v>0</v>
      </c>
      <c r="K234" s="15" t="str">
        <f aca="false">IF(J234=1,SUMPRODUCT(($J$5:$J$312=1)*(N($I$5:$I$312)&gt;N(I234)))+1,"")</f>
        <v/>
      </c>
      <c r="L234" s="15" t="str">
        <f aca="false">IF(J234&lt;&gt;1,"",IF(K234&lt;=ROUND(SUM($J$5:$J$312)*0.2,0),"上位20%",IF(K234&lt;=ROUND(SUM($J$5:$J$312)*0.8,0),"中位60%","下位20%")))</f>
        <v/>
      </c>
      <c r="M234" s="15" t="str">
        <f aca="false">IF(F234="あり","◎","")</f>
        <v/>
      </c>
      <c r="N234" s="15" t="str">
        <f aca="false">IF(OR(LEFT(G234,1)="A",LEFT(G234,1)="B"),"◎","")</f>
        <v/>
      </c>
      <c r="O234" s="19"/>
      <c r="P234" s="19"/>
      <c r="Q234" s="19"/>
      <c r="R234" s="19"/>
      <c r="S234" s="19"/>
      <c r="T234" s="19"/>
      <c r="U234" s="19"/>
      <c r="V234" s="19"/>
      <c r="W234" s="15" t="str">
        <f aca="false">IF((N(Q234)+N(R234)+N(S234)+N(T234)+N(U234)+N(V234))=0,"",IF(AND((N(Q234)+N(R234)+N(T234))&gt;=2,(N(Q234)+N(R234)+N(S234)+N(T234)+N(U234)+N(V234))&gt;=4),"高",IF(AND((N(Q234)+N(R234)+N(T234))&gt;=1,(N(Q234)+N(R234)+N(S234)+N(T234)+N(U234)+N(V234))=3),"中","低")))</f>
        <v/>
      </c>
      <c r="X234" s="15" t="str">
        <f aca="false">IF(L234="中位60%",IF(W234="高",3,IF(W234="中",2,IF(W234="低",1,0)))+IF(M234="◎",1,0)+IF(N234="◎",1,0)+IF(O234="○",1,0)+IF(P234="○",1,0),"")</f>
        <v/>
      </c>
      <c r="Y234" s="20"/>
      <c r="Z234" s="18"/>
      <c r="AA234" s="20"/>
      <c r="AB234" s="20"/>
    </row>
    <row r="235" customFormat="false" ht="15" hidden="false" customHeight="false" outlineLevel="0" collapsed="false">
      <c r="A235" s="13" t="s">
        <v>553</v>
      </c>
      <c r="B235" s="14" t="s">
        <v>554</v>
      </c>
      <c r="C235" s="15" t="s">
        <v>406</v>
      </c>
      <c r="D235" s="15" t="n">
        <v>12</v>
      </c>
      <c r="E235" s="14" t="s">
        <v>101</v>
      </c>
      <c r="F235" s="15" t="s">
        <v>80</v>
      </c>
      <c r="G235" s="14"/>
      <c r="H235" s="17" t="n">
        <v>1</v>
      </c>
      <c r="I235" s="18"/>
      <c r="J235" s="15" t="n">
        <f aca="false">IF(AND(H235=1,N(I235)&gt;0),1,0)</f>
        <v>0</v>
      </c>
      <c r="K235" s="15" t="str">
        <f aca="false">IF(J235=1,SUMPRODUCT(($J$5:$J$312=1)*(N($I$5:$I$312)&gt;N(I235)))+1,"")</f>
        <v/>
      </c>
      <c r="L235" s="15" t="str">
        <f aca="false">IF(J235&lt;&gt;1,"",IF(K235&lt;=ROUND(SUM($J$5:$J$312)*0.2,0),"上位20%",IF(K235&lt;=ROUND(SUM($J$5:$J$312)*0.8,0),"中位60%","下位20%")))</f>
        <v/>
      </c>
      <c r="M235" s="15" t="str">
        <f aca="false">IF(F235="あり","◎","")</f>
        <v/>
      </c>
      <c r="N235" s="15" t="str">
        <f aca="false">IF(OR(LEFT(G235,1)="A",LEFT(G235,1)="B"),"◎","")</f>
        <v/>
      </c>
      <c r="O235" s="19"/>
      <c r="P235" s="19"/>
      <c r="Q235" s="19"/>
      <c r="R235" s="19"/>
      <c r="S235" s="19"/>
      <c r="T235" s="19"/>
      <c r="U235" s="19"/>
      <c r="V235" s="19"/>
      <c r="W235" s="15" t="str">
        <f aca="false">IF((N(Q235)+N(R235)+N(S235)+N(T235)+N(U235)+N(V235))=0,"",IF(AND((N(Q235)+N(R235)+N(T235))&gt;=2,(N(Q235)+N(R235)+N(S235)+N(T235)+N(U235)+N(V235))&gt;=4),"高",IF(AND((N(Q235)+N(R235)+N(T235))&gt;=1,(N(Q235)+N(R235)+N(S235)+N(T235)+N(U235)+N(V235))=3),"中","低")))</f>
        <v/>
      </c>
      <c r="X235" s="15" t="str">
        <f aca="false">IF(L235="中位60%",IF(W235="高",3,IF(W235="中",2,IF(W235="低",1,0)))+IF(M235="◎",1,0)+IF(N235="◎",1,0)+IF(O235="○",1,0)+IF(P235="○",1,0),"")</f>
        <v/>
      </c>
      <c r="Y235" s="20"/>
      <c r="Z235" s="18"/>
      <c r="AA235" s="20"/>
      <c r="AB235" s="20"/>
    </row>
    <row r="236" customFormat="false" ht="15" hidden="false" customHeight="false" outlineLevel="0" collapsed="false">
      <c r="A236" s="13" t="s">
        <v>555</v>
      </c>
      <c r="B236" s="14" t="s">
        <v>556</v>
      </c>
      <c r="C236" s="15" t="s">
        <v>406</v>
      </c>
      <c r="D236" s="15" t="n">
        <v>12</v>
      </c>
      <c r="E236" s="14" t="s">
        <v>62</v>
      </c>
      <c r="F236" s="15" t="s">
        <v>80</v>
      </c>
      <c r="G236" s="14"/>
      <c r="H236" s="17" t="n">
        <v>1</v>
      </c>
      <c r="I236" s="18"/>
      <c r="J236" s="15" t="n">
        <f aca="false">IF(AND(H236=1,N(I236)&gt;0),1,0)</f>
        <v>0</v>
      </c>
      <c r="K236" s="15" t="str">
        <f aca="false">IF(J236=1,SUMPRODUCT(($J$5:$J$312=1)*(N($I$5:$I$312)&gt;N(I236)))+1,"")</f>
        <v/>
      </c>
      <c r="L236" s="15" t="str">
        <f aca="false">IF(J236&lt;&gt;1,"",IF(K236&lt;=ROUND(SUM($J$5:$J$312)*0.2,0),"上位20%",IF(K236&lt;=ROUND(SUM($J$5:$J$312)*0.8,0),"中位60%","下位20%")))</f>
        <v/>
      </c>
      <c r="M236" s="15" t="str">
        <f aca="false">IF(F236="あり","◎","")</f>
        <v/>
      </c>
      <c r="N236" s="15" t="str">
        <f aca="false">IF(OR(LEFT(G236,1)="A",LEFT(G236,1)="B"),"◎","")</f>
        <v/>
      </c>
      <c r="O236" s="19"/>
      <c r="P236" s="19"/>
      <c r="Q236" s="19"/>
      <c r="R236" s="19"/>
      <c r="S236" s="19"/>
      <c r="T236" s="19"/>
      <c r="U236" s="19"/>
      <c r="V236" s="19"/>
      <c r="W236" s="15" t="str">
        <f aca="false">IF((N(Q236)+N(R236)+N(S236)+N(T236)+N(U236)+N(V236))=0,"",IF(AND((N(Q236)+N(R236)+N(T236))&gt;=2,(N(Q236)+N(R236)+N(S236)+N(T236)+N(U236)+N(V236))&gt;=4),"高",IF(AND((N(Q236)+N(R236)+N(T236))&gt;=1,(N(Q236)+N(R236)+N(S236)+N(T236)+N(U236)+N(V236))=3),"中","低")))</f>
        <v/>
      </c>
      <c r="X236" s="15" t="str">
        <f aca="false">IF(L236="中位60%",IF(W236="高",3,IF(W236="中",2,IF(W236="低",1,0)))+IF(M236="◎",1,0)+IF(N236="◎",1,0)+IF(O236="○",1,0)+IF(P236="○",1,0),"")</f>
        <v/>
      </c>
      <c r="Y236" s="20"/>
      <c r="Z236" s="18"/>
      <c r="AA236" s="20"/>
      <c r="AB236" s="20"/>
    </row>
    <row r="237" customFormat="false" ht="15" hidden="false" customHeight="false" outlineLevel="0" collapsed="false">
      <c r="A237" s="13" t="s">
        <v>557</v>
      </c>
      <c r="B237" s="14" t="s">
        <v>558</v>
      </c>
      <c r="C237" s="15" t="s">
        <v>406</v>
      </c>
      <c r="D237" s="15" t="n">
        <v>12</v>
      </c>
      <c r="E237" s="14"/>
      <c r="F237" s="15" t="s">
        <v>80</v>
      </c>
      <c r="G237" s="14"/>
      <c r="H237" s="17" t="n">
        <v>1</v>
      </c>
      <c r="I237" s="18"/>
      <c r="J237" s="15" t="n">
        <f aca="false">IF(AND(H237=1,N(I237)&gt;0),1,0)</f>
        <v>0</v>
      </c>
      <c r="K237" s="15" t="str">
        <f aca="false">IF(J237=1,SUMPRODUCT(($J$5:$J$312=1)*(N($I$5:$I$312)&gt;N(I237)))+1,"")</f>
        <v/>
      </c>
      <c r="L237" s="15" t="str">
        <f aca="false">IF(J237&lt;&gt;1,"",IF(K237&lt;=ROUND(SUM($J$5:$J$312)*0.2,0),"上位20%",IF(K237&lt;=ROUND(SUM($J$5:$J$312)*0.8,0),"中位60%","下位20%")))</f>
        <v/>
      </c>
      <c r="M237" s="15" t="str">
        <f aca="false">IF(F237="あり","◎","")</f>
        <v/>
      </c>
      <c r="N237" s="15" t="str">
        <f aca="false">IF(OR(LEFT(G237,1)="A",LEFT(G237,1)="B"),"◎","")</f>
        <v/>
      </c>
      <c r="O237" s="19"/>
      <c r="P237" s="19"/>
      <c r="Q237" s="19"/>
      <c r="R237" s="19"/>
      <c r="S237" s="19"/>
      <c r="T237" s="19"/>
      <c r="U237" s="19"/>
      <c r="V237" s="19"/>
      <c r="W237" s="15" t="str">
        <f aca="false">IF((N(Q237)+N(R237)+N(S237)+N(T237)+N(U237)+N(V237))=0,"",IF(AND((N(Q237)+N(R237)+N(T237))&gt;=2,(N(Q237)+N(R237)+N(S237)+N(T237)+N(U237)+N(V237))&gt;=4),"高",IF(AND((N(Q237)+N(R237)+N(T237))&gt;=1,(N(Q237)+N(R237)+N(S237)+N(T237)+N(U237)+N(V237))=3),"中","低")))</f>
        <v/>
      </c>
      <c r="X237" s="15" t="str">
        <f aca="false">IF(L237="中位60%",IF(W237="高",3,IF(W237="中",2,IF(W237="低",1,0)))+IF(M237="◎",1,0)+IF(N237="◎",1,0)+IF(O237="○",1,0)+IF(P237="○",1,0),"")</f>
        <v/>
      </c>
      <c r="Y237" s="20"/>
      <c r="Z237" s="18"/>
      <c r="AA237" s="20"/>
      <c r="AB237" s="20"/>
    </row>
    <row r="238" customFormat="false" ht="15" hidden="false" customHeight="false" outlineLevel="0" collapsed="false">
      <c r="A238" s="13" t="s">
        <v>559</v>
      </c>
      <c r="B238" s="14" t="s">
        <v>560</v>
      </c>
      <c r="C238" s="15" t="s">
        <v>406</v>
      </c>
      <c r="D238" s="15" t="n">
        <v>12</v>
      </c>
      <c r="E238" s="14"/>
      <c r="F238" s="15" t="s">
        <v>80</v>
      </c>
      <c r="G238" s="14"/>
      <c r="H238" s="17" t="n">
        <v>1</v>
      </c>
      <c r="I238" s="18"/>
      <c r="J238" s="15" t="n">
        <f aca="false">IF(AND(H238=1,N(I238)&gt;0),1,0)</f>
        <v>0</v>
      </c>
      <c r="K238" s="15" t="str">
        <f aca="false">IF(J238=1,SUMPRODUCT(($J$5:$J$312=1)*(N($I$5:$I$312)&gt;N(I238)))+1,"")</f>
        <v/>
      </c>
      <c r="L238" s="15" t="str">
        <f aca="false">IF(J238&lt;&gt;1,"",IF(K238&lt;=ROUND(SUM($J$5:$J$312)*0.2,0),"上位20%",IF(K238&lt;=ROUND(SUM($J$5:$J$312)*0.8,0),"中位60%","下位20%")))</f>
        <v/>
      </c>
      <c r="M238" s="15" t="str">
        <f aca="false">IF(F238="あり","◎","")</f>
        <v/>
      </c>
      <c r="N238" s="15" t="str">
        <f aca="false">IF(OR(LEFT(G238,1)="A",LEFT(G238,1)="B"),"◎","")</f>
        <v/>
      </c>
      <c r="O238" s="19"/>
      <c r="P238" s="19"/>
      <c r="Q238" s="19"/>
      <c r="R238" s="19"/>
      <c r="S238" s="19"/>
      <c r="T238" s="19"/>
      <c r="U238" s="19"/>
      <c r="V238" s="19"/>
      <c r="W238" s="15" t="str">
        <f aca="false">IF((N(Q238)+N(R238)+N(S238)+N(T238)+N(U238)+N(V238))=0,"",IF(AND((N(Q238)+N(R238)+N(T238))&gt;=2,(N(Q238)+N(R238)+N(S238)+N(T238)+N(U238)+N(V238))&gt;=4),"高",IF(AND((N(Q238)+N(R238)+N(T238))&gt;=1,(N(Q238)+N(R238)+N(S238)+N(T238)+N(U238)+N(V238))=3),"中","低")))</f>
        <v/>
      </c>
      <c r="X238" s="15" t="str">
        <f aca="false">IF(L238="中位60%",IF(W238="高",3,IF(W238="中",2,IF(W238="低",1,0)))+IF(M238="◎",1,0)+IF(N238="◎",1,0)+IF(O238="○",1,0)+IF(P238="○",1,0),"")</f>
        <v/>
      </c>
      <c r="Y238" s="20"/>
      <c r="Z238" s="18"/>
      <c r="AA238" s="20"/>
      <c r="AB238" s="20"/>
    </row>
    <row r="239" customFormat="false" ht="15" hidden="false" customHeight="false" outlineLevel="0" collapsed="false">
      <c r="A239" s="13" t="s">
        <v>561</v>
      </c>
      <c r="B239" s="14" t="s">
        <v>562</v>
      </c>
      <c r="C239" s="15" t="s">
        <v>406</v>
      </c>
      <c r="D239" s="15" t="n">
        <v>12</v>
      </c>
      <c r="E239" s="14"/>
      <c r="F239" s="15" t="s">
        <v>80</v>
      </c>
      <c r="G239" s="14"/>
      <c r="H239" s="17" t="n">
        <v>1</v>
      </c>
      <c r="I239" s="18"/>
      <c r="J239" s="15" t="n">
        <f aca="false">IF(AND(H239=1,N(I239)&gt;0),1,0)</f>
        <v>0</v>
      </c>
      <c r="K239" s="15" t="str">
        <f aca="false">IF(J239=1,SUMPRODUCT(($J$5:$J$312=1)*(N($I$5:$I$312)&gt;N(I239)))+1,"")</f>
        <v/>
      </c>
      <c r="L239" s="15" t="str">
        <f aca="false">IF(J239&lt;&gt;1,"",IF(K239&lt;=ROUND(SUM($J$5:$J$312)*0.2,0),"上位20%",IF(K239&lt;=ROUND(SUM($J$5:$J$312)*0.8,0),"中位60%","下位20%")))</f>
        <v/>
      </c>
      <c r="M239" s="15" t="str">
        <f aca="false">IF(F239="あり","◎","")</f>
        <v/>
      </c>
      <c r="N239" s="15" t="str">
        <f aca="false">IF(OR(LEFT(G239,1)="A",LEFT(G239,1)="B"),"◎","")</f>
        <v/>
      </c>
      <c r="O239" s="19"/>
      <c r="P239" s="19"/>
      <c r="Q239" s="19"/>
      <c r="R239" s="19"/>
      <c r="S239" s="19"/>
      <c r="T239" s="19"/>
      <c r="U239" s="19"/>
      <c r="V239" s="19"/>
      <c r="W239" s="15" t="str">
        <f aca="false">IF((N(Q239)+N(R239)+N(S239)+N(T239)+N(U239)+N(V239))=0,"",IF(AND((N(Q239)+N(R239)+N(T239))&gt;=2,(N(Q239)+N(R239)+N(S239)+N(T239)+N(U239)+N(V239))&gt;=4),"高",IF(AND((N(Q239)+N(R239)+N(T239))&gt;=1,(N(Q239)+N(R239)+N(S239)+N(T239)+N(U239)+N(V239))=3),"中","低")))</f>
        <v/>
      </c>
      <c r="X239" s="15" t="str">
        <f aca="false">IF(L239="中位60%",IF(W239="高",3,IF(W239="中",2,IF(W239="低",1,0)))+IF(M239="◎",1,0)+IF(N239="◎",1,0)+IF(O239="○",1,0)+IF(P239="○",1,0),"")</f>
        <v/>
      </c>
      <c r="Y239" s="20"/>
      <c r="Z239" s="18"/>
      <c r="AA239" s="20"/>
      <c r="AB239" s="20"/>
    </row>
    <row r="240" customFormat="false" ht="15" hidden="false" customHeight="false" outlineLevel="0" collapsed="false">
      <c r="A240" s="13" t="s">
        <v>563</v>
      </c>
      <c r="B240" s="14" t="s">
        <v>564</v>
      </c>
      <c r="C240" s="15" t="s">
        <v>406</v>
      </c>
      <c r="D240" s="15" t="n">
        <v>12</v>
      </c>
      <c r="E240" s="14"/>
      <c r="F240" s="15" t="s">
        <v>80</v>
      </c>
      <c r="G240" s="14"/>
      <c r="H240" s="17" t="n">
        <v>1</v>
      </c>
      <c r="I240" s="18"/>
      <c r="J240" s="15" t="n">
        <f aca="false">IF(AND(H240=1,N(I240)&gt;0),1,0)</f>
        <v>0</v>
      </c>
      <c r="K240" s="15" t="str">
        <f aca="false">IF(J240=1,SUMPRODUCT(($J$5:$J$312=1)*(N($I$5:$I$312)&gt;N(I240)))+1,"")</f>
        <v/>
      </c>
      <c r="L240" s="15" t="str">
        <f aca="false">IF(J240&lt;&gt;1,"",IF(K240&lt;=ROUND(SUM($J$5:$J$312)*0.2,0),"上位20%",IF(K240&lt;=ROUND(SUM($J$5:$J$312)*0.8,0),"中位60%","下位20%")))</f>
        <v/>
      </c>
      <c r="M240" s="15" t="str">
        <f aca="false">IF(F240="あり","◎","")</f>
        <v/>
      </c>
      <c r="N240" s="15" t="str">
        <f aca="false">IF(OR(LEFT(G240,1)="A",LEFT(G240,1)="B"),"◎","")</f>
        <v/>
      </c>
      <c r="O240" s="19"/>
      <c r="P240" s="19"/>
      <c r="Q240" s="19"/>
      <c r="R240" s="19"/>
      <c r="S240" s="19"/>
      <c r="T240" s="19"/>
      <c r="U240" s="19"/>
      <c r="V240" s="19"/>
      <c r="W240" s="15" t="str">
        <f aca="false">IF((N(Q240)+N(R240)+N(S240)+N(T240)+N(U240)+N(V240))=0,"",IF(AND((N(Q240)+N(R240)+N(T240))&gt;=2,(N(Q240)+N(R240)+N(S240)+N(T240)+N(U240)+N(V240))&gt;=4),"高",IF(AND((N(Q240)+N(R240)+N(T240))&gt;=1,(N(Q240)+N(R240)+N(S240)+N(T240)+N(U240)+N(V240))=3),"中","低")))</f>
        <v/>
      </c>
      <c r="X240" s="15" t="str">
        <f aca="false">IF(L240="中位60%",IF(W240="高",3,IF(W240="中",2,IF(W240="低",1,0)))+IF(M240="◎",1,0)+IF(N240="◎",1,0)+IF(O240="○",1,0)+IF(P240="○",1,0),"")</f>
        <v/>
      </c>
      <c r="Y240" s="20"/>
      <c r="Z240" s="18"/>
      <c r="AA240" s="20"/>
      <c r="AB240" s="20"/>
    </row>
    <row r="241" customFormat="false" ht="15" hidden="false" customHeight="false" outlineLevel="0" collapsed="false">
      <c r="A241" s="13" t="s">
        <v>565</v>
      </c>
      <c r="B241" s="14" t="s">
        <v>566</v>
      </c>
      <c r="C241" s="15" t="s">
        <v>406</v>
      </c>
      <c r="D241" s="15" t="n">
        <v>12</v>
      </c>
      <c r="E241" s="14" t="s">
        <v>79</v>
      </c>
      <c r="F241" s="15" t="s">
        <v>63</v>
      </c>
      <c r="G241" s="14"/>
      <c r="H241" s="17" t="n">
        <v>1</v>
      </c>
      <c r="I241" s="18"/>
      <c r="J241" s="15" t="n">
        <f aca="false">IF(AND(H241=1,N(I241)&gt;0),1,0)</f>
        <v>0</v>
      </c>
      <c r="K241" s="15" t="str">
        <f aca="false">IF(J241=1,SUMPRODUCT(($J$5:$J$312=1)*(N($I$5:$I$312)&gt;N(I241)))+1,"")</f>
        <v/>
      </c>
      <c r="L241" s="15" t="str">
        <f aca="false">IF(J241&lt;&gt;1,"",IF(K241&lt;=ROUND(SUM($J$5:$J$312)*0.2,0),"上位20%",IF(K241&lt;=ROUND(SUM($J$5:$J$312)*0.8,0),"中位60%","下位20%")))</f>
        <v/>
      </c>
      <c r="M241" s="15" t="str">
        <f aca="false">IF(F241="あり","◎","")</f>
        <v>◎</v>
      </c>
      <c r="N241" s="15" t="str">
        <f aca="false">IF(OR(LEFT(G241,1)="A",LEFT(G241,1)="B"),"◎","")</f>
        <v/>
      </c>
      <c r="O241" s="19"/>
      <c r="P241" s="19"/>
      <c r="Q241" s="19"/>
      <c r="R241" s="19"/>
      <c r="S241" s="19"/>
      <c r="T241" s="19"/>
      <c r="U241" s="19"/>
      <c r="V241" s="19"/>
      <c r="W241" s="15" t="str">
        <f aca="false">IF((N(Q241)+N(R241)+N(S241)+N(T241)+N(U241)+N(V241))=0,"",IF(AND((N(Q241)+N(R241)+N(T241))&gt;=2,(N(Q241)+N(R241)+N(S241)+N(T241)+N(U241)+N(V241))&gt;=4),"高",IF(AND((N(Q241)+N(R241)+N(T241))&gt;=1,(N(Q241)+N(R241)+N(S241)+N(T241)+N(U241)+N(V241))=3),"中","低")))</f>
        <v/>
      </c>
      <c r="X241" s="15" t="str">
        <f aca="false">IF(L241="中位60%",IF(W241="高",3,IF(W241="中",2,IF(W241="低",1,0)))+IF(M241="◎",1,0)+IF(N241="◎",1,0)+IF(O241="○",1,0)+IF(P241="○",1,0),"")</f>
        <v/>
      </c>
      <c r="Y241" s="20"/>
      <c r="Z241" s="18"/>
      <c r="AA241" s="20"/>
      <c r="AB241" s="20"/>
    </row>
    <row r="242" customFormat="false" ht="15" hidden="false" customHeight="false" outlineLevel="0" collapsed="false">
      <c r="A242" s="13" t="s">
        <v>567</v>
      </c>
      <c r="B242" s="14" t="s">
        <v>568</v>
      </c>
      <c r="C242" s="15" t="s">
        <v>406</v>
      </c>
      <c r="D242" s="15" t="n">
        <v>12</v>
      </c>
      <c r="E242" s="14" t="s">
        <v>91</v>
      </c>
      <c r="F242" s="15" t="s">
        <v>80</v>
      </c>
      <c r="G242" s="14"/>
      <c r="H242" s="17" t="n">
        <v>1</v>
      </c>
      <c r="I242" s="18"/>
      <c r="J242" s="15" t="n">
        <f aca="false">IF(AND(H242=1,N(I242)&gt;0),1,0)</f>
        <v>0</v>
      </c>
      <c r="K242" s="15" t="str">
        <f aca="false">IF(J242=1,SUMPRODUCT(($J$5:$J$312=1)*(N($I$5:$I$312)&gt;N(I242)))+1,"")</f>
        <v/>
      </c>
      <c r="L242" s="15" t="str">
        <f aca="false">IF(J242&lt;&gt;1,"",IF(K242&lt;=ROUND(SUM($J$5:$J$312)*0.2,0),"上位20%",IF(K242&lt;=ROUND(SUM($J$5:$J$312)*0.8,0),"中位60%","下位20%")))</f>
        <v/>
      </c>
      <c r="M242" s="15" t="str">
        <f aca="false">IF(F242="あり","◎","")</f>
        <v/>
      </c>
      <c r="N242" s="15" t="str">
        <f aca="false">IF(OR(LEFT(G242,1)="A",LEFT(G242,1)="B"),"◎","")</f>
        <v/>
      </c>
      <c r="O242" s="19"/>
      <c r="P242" s="19"/>
      <c r="Q242" s="19"/>
      <c r="R242" s="19"/>
      <c r="S242" s="19"/>
      <c r="T242" s="19"/>
      <c r="U242" s="19"/>
      <c r="V242" s="19"/>
      <c r="W242" s="15" t="str">
        <f aca="false">IF((N(Q242)+N(R242)+N(S242)+N(T242)+N(U242)+N(V242))=0,"",IF(AND((N(Q242)+N(R242)+N(T242))&gt;=2,(N(Q242)+N(R242)+N(S242)+N(T242)+N(U242)+N(V242))&gt;=4),"高",IF(AND((N(Q242)+N(R242)+N(T242))&gt;=1,(N(Q242)+N(R242)+N(S242)+N(T242)+N(U242)+N(V242))=3),"中","低")))</f>
        <v/>
      </c>
      <c r="X242" s="15" t="str">
        <f aca="false">IF(L242="中位60%",IF(W242="高",3,IF(W242="中",2,IF(W242="低",1,0)))+IF(M242="◎",1,0)+IF(N242="◎",1,0)+IF(O242="○",1,0)+IF(P242="○",1,0),"")</f>
        <v/>
      </c>
      <c r="Y242" s="20"/>
      <c r="Z242" s="18"/>
      <c r="AA242" s="20"/>
      <c r="AB242" s="20"/>
    </row>
    <row r="243" customFormat="false" ht="15" hidden="false" customHeight="false" outlineLevel="0" collapsed="false">
      <c r="A243" s="13" t="s">
        <v>569</v>
      </c>
      <c r="B243" s="14" t="s">
        <v>570</v>
      </c>
      <c r="C243" s="15" t="s">
        <v>406</v>
      </c>
      <c r="D243" s="15" t="n">
        <v>12</v>
      </c>
      <c r="E243" s="14"/>
      <c r="F243" s="15" t="s">
        <v>80</v>
      </c>
      <c r="G243" s="14"/>
      <c r="H243" s="17" t="n">
        <v>1</v>
      </c>
      <c r="I243" s="18"/>
      <c r="J243" s="15" t="n">
        <f aca="false">IF(AND(H243=1,N(I243)&gt;0),1,0)</f>
        <v>0</v>
      </c>
      <c r="K243" s="15" t="str">
        <f aca="false">IF(J243=1,SUMPRODUCT(($J$5:$J$312=1)*(N($I$5:$I$312)&gt;N(I243)))+1,"")</f>
        <v/>
      </c>
      <c r="L243" s="15" t="str">
        <f aca="false">IF(J243&lt;&gt;1,"",IF(K243&lt;=ROUND(SUM($J$5:$J$312)*0.2,0),"上位20%",IF(K243&lt;=ROUND(SUM($J$5:$J$312)*0.8,0),"中位60%","下位20%")))</f>
        <v/>
      </c>
      <c r="M243" s="15" t="str">
        <f aca="false">IF(F243="あり","◎","")</f>
        <v/>
      </c>
      <c r="N243" s="15" t="str">
        <f aca="false">IF(OR(LEFT(G243,1)="A",LEFT(G243,1)="B"),"◎","")</f>
        <v/>
      </c>
      <c r="O243" s="19"/>
      <c r="P243" s="19"/>
      <c r="Q243" s="19"/>
      <c r="R243" s="19"/>
      <c r="S243" s="19"/>
      <c r="T243" s="19"/>
      <c r="U243" s="19"/>
      <c r="V243" s="19"/>
      <c r="W243" s="15" t="str">
        <f aca="false">IF((N(Q243)+N(R243)+N(S243)+N(T243)+N(U243)+N(V243))=0,"",IF(AND((N(Q243)+N(R243)+N(T243))&gt;=2,(N(Q243)+N(R243)+N(S243)+N(T243)+N(U243)+N(V243))&gt;=4),"高",IF(AND((N(Q243)+N(R243)+N(T243))&gt;=1,(N(Q243)+N(R243)+N(S243)+N(T243)+N(U243)+N(V243))=3),"中","低")))</f>
        <v/>
      </c>
      <c r="X243" s="15" t="str">
        <f aca="false">IF(L243="中位60%",IF(W243="高",3,IF(W243="中",2,IF(W243="低",1,0)))+IF(M243="◎",1,0)+IF(N243="◎",1,0)+IF(O243="○",1,0)+IF(P243="○",1,0),"")</f>
        <v/>
      </c>
      <c r="Y243" s="20"/>
      <c r="Z243" s="18"/>
      <c r="AA243" s="20"/>
      <c r="AB243" s="20"/>
    </row>
    <row r="244" customFormat="false" ht="15" hidden="false" customHeight="false" outlineLevel="0" collapsed="false">
      <c r="A244" s="13" t="s">
        <v>571</v>
      </c>
      <c r="B244" s="14" t="s">
        <v>572</v>
      </c>
      <c r="C244" s="15" t="s">
        <v>406</v>
      </c>
      <c r="D244" s="15" t="n">
        <v>12</v>
      </c>
      <c r="E244" s="14"/>
      <c r="F244" s="15" t="s">
        <v>80</v>
      </c>
      <c r="G244" s="14"/>
      <c r="H244" s="17" t="n">
        <v>1</v>
      </c>
      <c r="I244" s="18"/>
      <c r="J244" s="15" t="n">
        <f aca="false">IF(AND(H244=1,N(I244)&gt;0),1,0)</f>
        <v>0</v>
      </c>
      <c r="K244" s="15" t="str">
        <f aca="false">IF(J244=1,SUMPRODUCT(($J$5:$J$312=1)*(N($I$5:$I$312)&gt;N(I244)))+1,"")</f>
        <v/>
      </c>
      <c r="L244" s="15" t="str">
        <f aca="false">IF(J244&lt;&gt;1,"",IF(K244&lt;=ROUND(SUM($J$5:$J$312)*0.2,0),"上位20%",IF(K244&lt;=ROUND(SUM($J$5:$J$312)*0.8,0),"中位60%","下位20%")))</f>
        <v/>
      </c>
      <c r="M244" s="15" t="str">
        <f aca="false">IF(F244="あり","◎","")</f>
        <v/>
      </c>
      <c r="N244" s="15" t="str">
        <f aca="false">IF(OR(LEFT(G244,1)="A",LEFT(G244,1)="B"),"◎","")</f>
        <v/>
      </c>
      <c r="O244" s="19"/>
      <c r="P244" s="19"/>
      <c r="Q244" s="19"/>
      <c r="R244" s="19"/>
      <c r="S244" s="19"/>
      <c r="T244" s="19"/>
      <c r="U244" s="19"/>
      <c r="V244" s="19"/>
      <c r="W244" s="15" t="str">
        <f aca="false">IF((N(Q244)+N(R244)+N(S244)+N(T244)+N(U244)+N(V244))=0,"",IF(AND((N(Q244)+N(R244)+N(T244))&gt;=2,(N(Q244)+N(R244)+N(S244)+N(T244)+N(U244)+N(V244))&gt;=4),"高",IF(AND((N(Q244)+N(R244)+N(T244))&gt;=1,(N(Q244)+N(R244)+N(S244)+N(T244)+N(U244)+N(V244))=3),"中","低")))</f>
        <v/>
      </c>
      <c r="X244" s="15" t="str">
        <f aca="false">IF(L244="中位60%",IF(W244="高",3,IF(W244="中",2,IF(W244="低",1,0)))+IF(M244="◎",1,0)+IF(N244="◎",1,0)+IF(O244="○",1,0)+IF(P244="○",1,0),"")</f>
        <v/>
      </c>
      <c r="Y244" s="20"/>
      <c r="Z244" s="18"/>
      <c r="AA244" s="20"/>
      <c r="AB244" s="20"/>
    </row>
    <row r="245" customFormat="false" ht="15" hidden="false" customHeight="false" outlineLevel="0" collapsed="false">
      <c r="A245" s="13" t="s">
        <v>573</v>
      </c>
      <c r="B245" s="14" t="s">
        <v>568</v>
      </c>
      <c r="C245" s="15" t="s">
        <v>406</v>
      </c>
      <c r="D245" s="15" t="n">
        <v>12</v>
      </c>
      <c r="E245" s="14"/>
      <c r="F245" s="15" t="s">
        <v>80</v>
      </c>
      <c r="G245" s="14"/>
      <c r="H245" s="17" t="n">
        <v>1</v>
      </c>
      <c r="I245" s="18"/>
      <c r="J245" s="15" t="n">
        <f aca="false">IF(AND(H245=1,N(I245)&gt;0),1,0)</f>
        <v>0</v>
      </c>
      <c r="K245" s="15" t="str">
        <f aca="false">IF(J245=1,SUMPRODUCT(($J$5:$J$312=1)*(N($I$5:$I$312)&gt;N(I245)))+1,"")</f>
        <v/>
      </c>
      <c r="L245" s="15" t="str">
        <f aca="false">IF(J245&lt;&gt;1,"",IF(K245&lt;=ROUND(SUM($J$5:$J$312)*0.2,0),"上位20%",IF(K245&lt;=ROUND(SUM($J$5:$J$312)*0.8,0),"中位60%","下位20%")))</f>
        <v/>
      </c>
      <c r="M245" s="15" t="str">
        <f aca="false">IF(F245="あり","◎","")</f>
        <v/>
      </c>
      <c r="N245" s="15" t="str">
        <f aca="false">IF(OR(LEFT(G245,1)="A",LEFT(G245,1)="B"),"◎","")</f>
        <v/>
      </c>
      <c r="O245" s="19"/>
      <c r="P245" s="19"/>
      <c r="Q245" s="19"/>
      <c r="R245" s="19"/>
      <c r="S245" s="19"/>
      <c r="T245" s="19"/>
      <c r="U245" s="19"/>
      <c r="V245" s="19"/>
      <c r="W245" s="15" t="str">
        <f aca="false">IF((N(Q245)+N(R245)+N(S245)+N(T245)+N(U245)+N(V245))=0,"",IF(AND((N(Q245)+N(R245)+N(T245))&gt;=2,(N(Q245)+N(R245)+N(S245)+N(T245)+N(U245)+N(V245))&gt;=4),"高",IF(AND((N(Q245)+N(R245)+N(T245))&gt;=1,(N(Q245)+N(R245)+N(S245)+N(T245)+N(U245)+N(V245))=3),"中","低")))</f>
        <v/>
      </c>
      <c r="X245" s="15" t="str">
        <f aca="false">IF(L245="中位60%",IF(W245="高",3,IF(W245="中",2,IF(W245="低",1,0)))+IF(M245="◎",1,0)+IF(N245="◎",1,0)+IF(O245="○",1,0)+IF(P245="○",1,0),"")</f>
        <v/>
      </c>
      <c r="Y245" s="20"/>
      <c r="Z245" s="18"/>
      <c r="AA245" s="20"/>
      <c r="AB245" s="20"/>
    </row>
    <row r="246" customFormat="false" ht="15" hidden="false" customHeight="false" outlineLevel="0" collapsed="false">
      <c r="A246" s="13" t="s">
        <v>574</v>
      </c>
      <c r="B246" s="14" t="s">
        <v>575</v>
      </c>
      <c r="C246" s="15" t="s">
        <v>406</v>
      </c>
      <c r="D246" s="15" t="n">
        <v>12</v>
      </c>
      <c r="E246" s="14" t="s">
        <v>75</v>
      </c>
      <c r="F246" s="15" t="s">
        <v>80</v>
      </c>
      <c r="G246" s="14"/>
      <c r="H246" s="17" t="n">
        <v>1</v>
      </c>
      <c r="I246" s="18"/>
      <c r="J246" s="15" t="n">
        <f aca="false">IF(AND(H246=1,N(I246)&gt;0),1,0)</f>
        <v>0</v>
      </c>
      <c r="K246" s="15" t="str">
        <f aca="false">IF(J246=1,SUMPRODUCT(($J$5:$J$312=1)*(N($I$5:$I$312)&gt;N(I246)))+1,"")</f>
        <v/>
      </c>
      <c r="L246" s="15" t="str">
        <f aca="false">IF(J246&lt;&gt;1,"",IF(K246&lt;=ROUND(SUM($J$5:$J$312)*0.2,0),"上位20%",IF(K246&lt;=ROUND(SUM($J$5:$J$312)*0.8,0),"中位60%","下位20%")))</f>
        <v/>
      </c>
      <c r="M246" s="15" t="str">
        <f aca="false">IF(F246="あり","◎","")</f>
        <v/>
      </c>
      <c r="N246" s="15" t="str">
        <f aca="false">IF(OR(LEFT(G246,1)="A",LEFT(G246,1)="B"),"◎","")</f>
        <v/>
      </c>
      <c r="O246" s="19"/>
      <c r="P246" s="19"/>
      <c r="Q246" s="19"/>
      <c r="R246" s="19"/>
      <c r="S246" s="19"/>
      <c r="T246" s="19"/>
      <c r="U246" s="19"/>
      <c r="V246" s="19"/>
      <c r="W246" s="15" t="str">
        <f aca="false">IF((N(Q246)+N(R246)+N(S246)+N(T246)+N(U246)+N(V246))=0,"",IF(AND((N(Q246)+N(R246)+N(T246))&gt;=2,(N(Q246)+N(R246)+N(S246)+N(T246)+N(U246)+N(V246))&gt;=4),"高",IF(AND((N(Q246)+N(R246)+N(T246))&gt;=1,(N(Q246)+N(R246)+N(S246)+N(T246)+N(U246)+N(V246))=3),"中","低")))</f>
        <v/>
      </c>
      <c r="X246" s="15" t="str">
        <f aca="false">IF(L246="中位60%",IF(W246="高",3,IF(W246="中",2,IF(W246="低",1,0)))+IF(M246="◎",1,0)+IF(N246="◎",1,0)+IF(O246="○",1,0)+IF(P246="○",1,0),"")</f>
        <v/>
      </c>
      <c r="Y246" s="20"/>
      <c r="Z246" s="18"/>
      <c r="AA246" s="20"/>
      <c r="AB246" s="20"/>
    </row>
    <row r="247" customFormat="false" ht="15" hidden="false" customHeight="false" outlineLevel="0" collapsed="false">
      <c r="A247" s="13" t="s">
        <v>576</v>
      </c>
      <c r="B247" s="14" t="s">
        <v>577</v>
      </c>
      <c r="C247" s="15" t="s">
        <v>406</v>
      </c>
      <c r="D247" s="15" t="n">
        <v>12</v>
      </c>
      <c r="E247" s="14"/>
      <c r="F247" s="15" t="s">
        <v>80</v>
      </c>
      <c r="G247" s="14"/>
      <c r="H247" s="17" t="n">
        <v>1</v>
      </c>
      <c r="I247" s="18"/>
      <c r="J247" s="15" t="n">
        <f aca="false">IF(AND(H247=1,N(I247)&gt;0),1,0)</f>
        <v>0</v>
      </c>
      <c r="K247" s="15" t="str">
        <f aca="false">IF(J247=1,SUMPRODUCT(($J$5:$J$312=1)*(N($I$5:$I$312)&gt;N(I247)))+1,"")</f>
        <v/>
      </c>
      <c r="L247" s="15" t="str">
        <f aca="false">IF(J247&lt;&gt;1,"",IF(K247&lt;=ROUND(SUM($J$5:$J$312)*0.2,0),"上位20%",IF(K247&lt;=ROUND(SUM($J$5:$J$312)*0.8,0),"中位60%","下位20%")))</f>
        <v/>
      </c>
      <c r="M247" s="15" t="str">
        <f aca="false">IF(F247="あり","◎","")</f>
        <v/>
      </c>
      <c r="N247" s="15" t="str">
        <f aca="false">IF(OR(LEFT(G247,1)="A",LEFT(G247,1)="B"),"◎","")</f>
        <v/>
      </c>
      <c r="O247" s="19"/>
      <c r="P247" s="19"/>
      <c r="Q247" s="19"/>
      <c r="R247" s="19"/>
      <c r="S247" s="19"/>
      <c r="T247" s="19"/>
      <c r="U247" s="19"/>
      <c r="V247" s="19"/>
      <c r="W247" s="15" t="str">
        <f aca="false">IF((N(Q247)+N(R247)+N(S247)+N(T247)+N(U247)+N(V247))=0,"",IF(AND((N(Q247)+N(R247)+N(T247))&gt;=2,(N(Q247)+N(R247)+N(S247)+N(T247)+N(U247)+N(V247))&gt;=4),"高",IF(AND((N(Q247)+N(R247)+N(T247))&gt;=1,(N(Q247)+N(R247)+N(S247)+N(T247)+N(U247)+N(V247))=3),"中","低")))</f>
        <v/>
      </c>
      <c r="X247" s="15" t="str">
        <f aca="false">IF(L247="中位60%",IF(W247="高",3,IF(W247="中",2,IF(W247="低",1,0)))+IF(M247="◎",1,0)+IF(N247="◎",1,0)+IF(O247="○",1,0)+IF(P247="○",1,0),"")</f>
        <v/>
      </c>
      <c r="Y247" s="20"/>
      <c r="Z247" s="18"/>
      <c r="AA247" s="20"/>
      <c r="AB247" s="20"/>
    </row>
    <row r="248" customFormat="false" ht="15" hidden="false" customHeight="false" outlineLevel="0" collapsed="false">
      <c r="A248" s="13" t="s">
        <v>578</v>
      </c>
      <c r="B248" s="14" t="s">
        <v>579</v>
      </c>
      <c r="C248" s="15" t="s">
        <v>406</v>
      </c>
      <c r="D248" s="15" t="n">
        <v>12</v>
      </c>
      <c r="E248" s="14" t="s">
        <v>83</v>
      </c>
      <c r="F248" s="15" t="s">
        <v>80</v>
      </c>
      <c r="G248" s="14"/>
      <c r="H248" s="17" t="n">
        <v>1</v>
      </c>
      <c r="I248" s="18"/>
      <c r="J248" s="15" t="n">
        <f aca="false">IF(AND(H248=1,N(I248)&gt;0),1,0)</f>
        <v>0</v>
      </c>
      <c r="K248" s="15" t="str">
        <f aca="false">IF(J248=1,SUMPRODUCT(($J$5:$J$312=1)*(N($I$5:$I$312)&gt;N(I248)))+1,"")</f>
        <v/>
      </c>
      <c r="L248" s="15" t="str">
        <f aca="false">IF(J248&lt;&gt;1,"",IF(K248&lt;=ROUND(SUM($J$5:$J$312)*0.2,0),"上位20%",IF(K248&lt;=ROUND(SUM($J$5:$J$312)*0.8,0),"中位60%","下位20%")))</f>
        <v/>
      </c>
      <c r="M248" s="15" t="str">
        <f aca="false">IF(F248="あり","◎","")</f>
        <v/>
      </c>
      <c r="N248" s="15" t="str">
        <f aca="false">IF(OR(LEFT(G248,1)="A",LEFT(G248,1)="B"),"◎","")</f>
        <v/>
      </c>
      <c r="O248" s="19"/>
      <c r="P248" s="19"/>
      <c r="Q248" s="19"/>
      <c r="R248" s="19"/>
      <c r="S248" s="19"/>
      <c r="T248" s="19"/>
      <c r="U248" s="19"/>
      <c r="V248" s="19"/>
      <c r="W248" s="15" t="str">
        <f aca="false">IF((N(Q248)+N(R248)+N(S248)+N(T248)+N(U248)+N(V248))=0,"",IF(AND((N(Q248)+N(R248)+N(T248))&gt;=2,(N(Q248)+N(R248)+N(S248)+N(T248)+N(U248)+N(V248))&gt;=4),"高",IF(AND((N(Q248)+N(R248)+N(T248))&gt;=1,(N(Q248)+N(R248)+N(S248)+N(T248)+N(U248)+N(V248))=3),"中","低")))</f>
        <v/>
      </c>
      <c r="X248" s="15" t="str">
        <f aca="false">IF(L248="中位60%",IF(W248="高",3,IF(W248="中",2,IF(W248="低",1,0)))+IF(M248="◎",1,0)+IF(N248="◎",1,0)+IF(O248="○",1,0)+IF(P248="○",1,0),"")</f>
        <v/>
      </c>
      <c r="Y248" s="20"/>
      <c r="Z248" s="18"/>
      <c r="AA248" s="20"/>
      <c r="AB248" s="20"/>
    </row>
    <row r="249" customFormat="false" ht="15" hidden="false" customHeight="false" outlineLevel="0" collapsed="false">
      <c r="A249" s="13" t="s">
        <v>580</v>
      </c>
      <c r="B249" s="14" t="s">
        <v>581</v>
      </c>
      <c r="C249" s="15" t="s">
        <v>406</v>
      </c>
      <c r="D249" s="15" t="n">
        <v>12</v>
      </c>
      <c r="E249" s="14" t="s">
        <v>94</v>
      </c>
      <c r="F249" s="15" t="s">
        <v>63</v>
      </c>
      <c r="G249" s="14"/>
      <c r="H249" s="17" t="n">
        <v>1</v>
      </c>
      <c r="I249" s="18"/>
      <c r="J249" s="15" t="n">
        <f aca="false">IF(AND(H249=1,N(I249)&gt;0),1,0)</f>
        <v>0</v>
      </c>
      <c r="K249" s="15" t="str">
        <f aca="false">IF(J249=1,SUMPRODUCT(($J$5:$J$312=1)*(N($I$5:$I$312)&gt;N(I249)))+1,"")</f>
        <v/>
      </c>
      <c r="L249" s="15" t="str">
        <f aca="false">IF(J249&lt;&gt;1,"",IF(K249&lt;=ROUND(SUM($J$5:$J$312)*0.2,0),"上位20%",IF(K249&lt;=ROUND(SUM($J$5:$J$312)*0.8,0),"中位60%","下位20%")))</f>
        <v/>
      </c>
      <c r="M249" s="15" t="str">
        <f aca="false">IF(F249="あり","◎","")</f>
        <v>◎</v>
      </c>
      <c r="N249" s="15" t="str">
        <f aca="false">IF(OR(LEFT(G249,1)="A",LEFT(G249,1)="B"),"◎","")</f>
        <v/>
      </c>
      <c r="O249" s="19"/>
      <c r="P249" s="19"/>
      <c r="Q249" s="19"/>
      <c r="R249" s="19"/>
      <c r="S249" s="19"/>
      <c r="T249" s="19"/>
      <c r="U249" s="19"/>
      <c r="V249" s="19"/>
      <c r="W249" s="15" t="str">
        <f aca="false">IF((N(Q249)+N(R249)+N(S249)+N(T249)+N(U249)+N(V249))=0,"",IF(AND((N(Q249)+N(R249)+N(T249))&gt;=2,(N(Q249)+N(R249)+N(S249)+N(T249)+N(U249)+N(V249))&gt;=4),"高",IF(AND((N(Q249)+N(R249)+N(T249))&gt;=1,(N(Q249)+N(R249)+N(S249)+N(T249)+N(U249)+N(V249))=3),"中","低")))</f>
        <v/>
      </c>
      <c r="X249" s="15" t="str">
        <f aca="false">IF(L249="中位60%",IF(W249="高",3,IF(W249="中",2,IF(W249="低",1,0)))+IF(M249="◎",1,0)+IF(N249="◎",1,0)+IF(O249="○",1,0)+IF(P249="○",1,0),"")</f>
        <v/>
      </c>
      <c r="Y249" s="20"/>
      <c r="Z249" s="18"/>
      <c r="AA249" s="20"/>
      <c r="AB249" s="20"/>
    </row>
    <row r="250" customFormat="false" ht="15" hidden="false" customHeight="false" outlineLevel="0" collapsed="false">
      <c r="A250" s="13" t="s">
        <v>582</v>
      </c>
      <c r="B250" s="14" t="s">
        <v>583</v>
      </c>
      <c r="C250" s="15" t="s">
        <v>406</v>
      </c>
      <c r="D250" s="15" t="n">
        <v>12</v>
      </c>
      <c r="E250" s="14" t="s">
        <v>101</v>
      </c>
      <c r="F250" s="15" t="s">
        <v>63</v>
      </c>
      <c r="G250" s="14"/>
      <c r="H250" s="17" t="n">
        <v>1</v>
      </c>
      <c r="I250" s="18"/>
      <c r="J250" s="15" t="n">
        <f aca="false">IF(AND(H250=1,N(I250)&gt;0),1,0)</f>
        <v>0</v>
      </c>
      <c r="K250" s="15" t="str">
        <f aca="false">IF(J250=1,SUMPRODUCT(($J$5:$J$312=1)*(N($I$5:$I$312)&gt;N(I250)))+1,"")</f>
        <v/>
      </c>
      <c r="L250" s="15" t="str">
        <f aca="false">IF(J250&lt;&gt;1,"",IF(K250&lt;=ROUND(SUM($J$5:$J$312)*0.2,0),"上位20%",IF(K250&lt;=ROUND(SUM($J$5:$J$312)*0.8,0),"中位60%","下位20%")))</f>
        <v/>
      </c>
      <c r="M250" s="15" t="str">
        <f aca="false">IF(F250="あり","◎","")</f>
        <v>◎</v>
      </c>
      <c r="N250" s="15" t="str">
        <f aca="false">IF(OR(LEFT(G250,1)="A",LEFT(G250,1)="B"),"◎","")</f>
        <v/>
      </c>
      <c r="O250" s="19"/>
      <c r="P250" s="19"/>
      <c r="Q250" s="19"/>
      <c r="R250" s="19"/>
      <c r="S250" s="19"/>
      <c r="T250" s="19"/>
      <c r="U250" s="19"/>
      <c r="V250" s="19"/>
      <c r="W250" s="15" t="str">
        <f aca="false">IF((N(Q250)+N(R250)+N(S250)+N(T250)+N(U250)+N(V250))=0,"",IF(AND((N(Q250)+N(R250)+N(T250))&gt;=2,(N(Q250)+N(R250)+N(S250)+N(T250)+N(U250)+N(V250))&gt;=4),"高",IF(AND((N(Q250)+N(R250)+N(T250))&gt;=1,(N(Q250)+N(R250)+N(S250)+N(T250)+N(U250)+N(V250))=3),"中","低")))</f>
        <v/>
      </c>
      <c r="X250" s="15" t="str">
        <f aca="false">IF(L250="中位60%",IF(W250="高",3,IF(W250="中",2,IF(W250="低",1,0)))+IF(M250="◎",1,0)+IF(N250="◎",1,0)+IF(O250="○",1,0)+IF(P250="○",1,0),"")</f>
        <v/>
      </c>
      <c r="Y250" s="20"/>
      <c r="Z250" s="18"/>
      <c r="AA250" s="20"/>
      <c r="AB250" s="20"/>
    </row>
    <row r="251" customFormat="false" ht="15" hidden="false" customHeight="false" outlineLevel="0" collapsed="false">
      <c r="A251" s="13" t="s">
        <v>584</v>
      </c>
      <c r="B251" s="14" t="s">
        <v>585</v>
      </c>
      <c r="C251" s="15" t="s">
        <v>406</v>
      </c>
      <c r="D251" s="15" t="n">
        <v>12</v>
      </c>
      <c r="E251" s="14" t="s">
        <v>79</v>
      </c>
      <c r="F251" s="15" t="s">
        <v>63</v>
      </c>
      <c r="G251" s="14"/>
      <c r="H251" s="17" t="n">
        <v>1</v>
      </c>
      <c r="I251" s="18"/>
      <c r="J251" s="15" t="n">
        <f aca="false">IF(AND(H251=1,N(I251)&gt;0),1,0)</f>
        <v>0</v>
      </c>
      <c r="K251" s="15" t="str">
        <f aca="false">IF(J251=1,SUMPRODUCT(($J$5:$J$312=1)*(N($I$5:$I$312)&gt;N(I251)))+1,"")</f>
        <v/>
      </c>
      <c r="L251" s="15" t="str">
        <f aca="false">IF(J251&lt;&gt;1,"",IF(K251&lt;=ROUND(SUM($J$5:$J$312)*0.2,0),"上位20%",IF(K251&lt;=ROUND(SUM($J$5:$J$312)*0.8,0),"中位60%","下位20%")))</f>
        <v/>
      </c>
      <c r="M251" s="15" t="str">
        <f aca="false">IF(F251="あり","◎","")</f>
        <v>◎</v>
      </c>
      <c r="N251" s="15" t="str">
        <f aca="false">IF(OR(LEFT(G251,1)="A",LEFT(G251,1)="B"),"◎","")</f>
        <v/>
      </c>
      <c r="O251" s="19"/>
      <c r="P251" s="19"/>
      <c r="Q251" s="19"/>
      <c r="R251" s="19"/>
      <c r="S251" s="19"/>
      <c r="T251" s="19"/>
      <c r="U251" s="19"/>
      <c r="V251" s="19"/>
      <c r="W251" s="15" t="str">
        <f aca="false">IF((N(Q251)+N(R251)+N(S251)+N(T251)+N(U251)+N(V251))=0,"",IF(AND((N(Q251)+N(R251)+N(T251))&gt;=2,(N(Q251)+N(R251)+N(S251)+N(T251)+N(U251)+N(V251))&gt;=4),"高",IF(AND((N(Q251)+N(R251)+N(T251))&gt;=1,(N(Q251)+N(R251)+N(S251)+N(T251)+N(U251)+N(V251))=3),"中","低")))</f>
        <v/>
      </c>
      <c r="X251" s="15" t="str">
        <f aca="false">IF(L251="中位60%",IF(W251="高",3,IF(W251="中",2,IF(W251="低",1,0)))+IF(M251="◎",1,0)+IF(N251="◎",1,0)+IF(O251="○",1,0)+IF(P251="○",1,0),"")</f>
        <v/>
      </c>
      <c r="Y251" s="20"/>
      <c r="Z251" s="18"/>
      <c r="AA251" s="20"/>
      <c r="AB251" s="20"/>
    </row>
    <row r="252" customFormat="false" ht="15" hidden="false" customHeight="false" outlineLevel="0" collapsed="false">
      <c r="A252" s="13" t="s">
        <v>586</v>
      </c>
      <c r="B252" s="14" t="s">
        <v>587</v>
      </c>
      <c r="C252" s="15" t="s">
        <v>406</v>
      </c>
      <c r="D252" s="15" t="n">
        <v>12</v>
      </c>
      <c r="E252" s="14" t="s">
        <v>75</v>
      </c>
      <c r="F252" s="15" t="s">
        <v>63</v>
      </c>
      <c r="G252" s="14"/>
      <c r="H252" s="17" t="n">
        <v>1</v>
      </c>
      <c r="I252" s="18"/>
      <c r="J252" s="15" t="n">
        <f aca="false">IF(AND(H252=1,N(I252)&gt;0),1,0)</f>
        <v>0</v>
      </c>
      <c r="K252" s="15" t="str">
        <f aca="false">IF(J252=1,SUMPRODUCT(($J$5:$J$312=1)*(N($I$5:$I$312)&gt;N(I252)))+1,"")</f>
        <v/>
      </c>
      <c r="L252" s="15" t="str">
        <f aca="false">IF(J252&lt;&gt;1,"",IF(K252&lt;=ROUND(SUM($J$5:$J$312)*0.2,0),"上位20%",IF(K252&lt;=ROUND(SUM($J$5:$J$312)*0.8,0),"中位60%","下位20%")))</f>
        <v/>
      </c>
      <c r="M252" s="15" t="str">
        <f aca="false">IF(F252="あり","◎","")</f>
        <v>◎</v>
      </c>
      <c r="N252" s="15" t="str">
        <f aca="false">IF(OR(LEFT(G252,1)="A",LEFT(G252,1)="B"),"◎","")</f>
        <v/>
      </c>
      <c r="O252" s="19"/>
      <c r="P252" s="19"/>
      <c r="Q252" s="19"/>
      <c r="R252" s="19"/>
      <c r="S252" s="19"/>
      <c r="T252" s="19"/>
      <c r="U252" s="19"/>
      <c r="V252" s="19"/>
      <c r="W252" s="15" t="str">
        <f aca="false">IF((N(Q252)+N(R252)+N(S252)+N(T252)+N(U252)+N(V252))=0,"",IF(AND((N(Q252)+N(R252)+N(T252))&gt;=2,(N(Q252)+N(R252)+N(S252)+N(T252)+N(U252)+N(V252))&gt;=4),"高",IF(AND((N(Q252)+N(R252)+N(T252))&gt;=1,(N(Q252)+N(R252)+N(S252)+N(T252)+N(U252)+N(V252))=3),"中","低")))</f>
        <v/>
      </c>
      <c r="X252" s="15" t="str">
        <f aca="false">IF(L252="中位60%",IF(W252="高",3,IF(W252="中",2,IF(W252="低",1,0)))+IF(M252="◎",1,0)+IF(N252="◎",1,0)+IF(O252="○",1,0)+IF(P252="○",1,0),"")</f>
        <v/>
      </c>
      <c r="Y252" s="20"/>
      <c r="Z252" s="18"/>
      <c r="AA252" s="20"/>
      <c r="AB252" s="20"/>
    </row>
    <row r="253" customFormat="false" ht="15" hidden="false" customHeight="false" outlineLevel="0" collapsed="false">
      <c r="A253" s="13" t="s">
        <v>588</v>
      </c>
      <c r="B253" s="14" t="s">
        <v>589</v>
      </c>
      <c r="C253" s="15" t="s">
        <v>406</v>
      </c>
      <c r="D253" s="15" t="n">
        <v>12</v>
      </c>
      <c r="E253" s="14"/>
      <c r="F253" s="15" t="s">
        <v>80</v>
      </c>
      <c r="G253" s="14"/>
      <c r="H253" s="17" t="n">
        <v>1</v>
      </c>
      <c r="I253" s="18"/>
      <c r="J253" s="15" t="n">
        <f aca="false">IF(AND(H253=1,N(I253)&gt;0),1,0)</f>
        <v>0</v>
      </c>
      <c r="K253" s="15" t="str">
        <f aca="false">IF(J253=1,SUMPRODUCT(($J$5:$J$312=1)*(N($I$5:$I$312)&gt;N(I253)))+1,"")</f>
        <v/>
      </c>
      <c r="L253" s="15" t="str">
        <f aca="false">IF(J253&lt;&gt;1,"",IF(K253&lt;=ROUND(SUM($J$5:$J$312)*0.2,0),"上位20%",IF(K253&lt;=ROUND(SUM($J$5:$J$312)*0.8,0),"中位60%","下位20%")))</f>
        <v/>
      </c>
      <c r="M253" s="15" t="str">
        <f aca="false">IF(F253="あり","◎","")</f>
        <v/>
      </c>
      <c r="N253" s="15" t="str">
        <f aca="false">IF(OR(LEFT(G253,1)="A",LEFT(G253,1)="B"),"◎","")</f>
        <v/>
      </c>
      <c r="O253" s="19"/>
      <c r="P253" s="19"/>
      <c r="Q253" s="19"/>
      <c r="R253" s="19"/>
      <c r="S253" s="19"/>
      <c r="T253" s="19"/>
      <c r="U253" s="19"/>
      <c r="V253" s="19"/>
      <c r="W253" s="15" t="str">
        <f aca="false">IF((N(Q253)+N(R253)+N(S253)+N(T253)+N(U253)+N(V253))=0,"",IF(AND((N(Q253)+N(R253)+N(T253))&gt;=2,(N(Q253)+N(R253)+N(S253)+N(T253)+N(U253)+N(V253))&gt;=4),"高",IF(AND((N(Q253)+N(R253)+N(T253))&gt;=1,(N(Q253)+N(R253)+N(S253)+N(T253)+N(U253)+N(V253))=3),"中","低")))</f>
        <v/>
      </c>
      <c r="X253" s="15" t="str">
        <f aca="false">IF(L253="中位60%",IF(W253="高",3,IF(W253="中",2,IF(W253="低",1,0)))+IF(M253="◎",1,0)+IF(N253="◎",1,0)+IF(O253="○",1,0)+IF(P253="○",1,0),"")</f>
        <v/>
      </c>
      <c r="Y253" s="20"/>
      <c r="Z253" s="18"/>
      <c r="AA253" s="20"/>
      <c r="AB253" s="20"/>
    </row>
    <row r="254" customFormat="false" ht="15" hidden="false" customHeight="false" outlineLevel="0" collapsed="false">
      <c r="A254" s="13" t="s">
        <v>590</v>
      </c>
      <c r="B254" s="14" t="s">
        <v>591</v>
      </c>
      <c r="C254" s="15" t="s">
        <v>406</v>
      </c>
      <c r="D254" s="15" t="n">
        <v>12</v>
      </c>
      <c r="E254" s="14" t="s">
        <v>94</v>
      </c>
      <c r="F254" s="15" t="s">
        <v>80</v>
      </c>
      <c r="G254" s="14"/>
      <c r="H254" s="17" t="n">
        <v>1</v>
      </c>
      <c r="I254" s="18"/>
      <c r="J254" s="15" t="n">
        <f aca="false">IF(AND(H254=1,N(I254)&gt;0),1,0)</f>
        <v>0</v>
      </c>
      <c r="K254" s="15" t="str">
        <f aca="false">IF(J254=1,SUMPRODUCT(($J$5:$J$312=1)*(N($I$5:$I$312)&gt;N(I254)))+1,"")</f>
        <v/>
      </c>
      <c r="L254" s="15" t="str">
        <f aca="false">IF(J254&lt;&gt;1,"",IF(K254&lt;=ROUND(SUM($J$5:$J$312)*0.2,0),"上位20%",IF(K254&lt;=ROUND(SUM($J$5:$J$312)*0.8,0),"中位60%","下位20%")))</f>
        <v/>
      </c>
      <c r="M254" s="15" t="str">
        <f aca="false">IF(F254="あり","◎","")</f>
        <v/>
      </c>
      <c r="N254" s="15" t="str">
        <f aca="false">IF(OR(LEFT(G254,1)="A",LEFT(G254,1)="B"),"◎","")</f>
        <v/>
      </c>
      <c r="O254" s="19"/>
      <c r="P254" s="19"/>
      <c r="Q254" s="19"/>
      <c r="R254" s="19"/>
      <c r="S254" s="19"/>
      <c r="T254" s="19"/>
      <c r="U254" s="19"/>
      <c r="V254" s="19"/>
      <c r="W254" s="15" t="str">
        <f aca="false">IF((N(Q254)+N(R254)+N(S254)+N(T254)+N(U254)+N(V254))=0,"",IF(AND((N(Q254)+N(R254)+N(T254))&gt;=2,(N(Q254)+N(R254)+N(S254)+N(T254)+N(U254)+N(V254))&gt;=4),"高",IF(AND((N(Q254)+N(R254)+N(T254))&gt;=1,(N(Q254)+N(R254)+N(S254)+N(T254)+N(U254)+N(V254))=3),"中","低")))</f>
        <v/>
      </c>
      <c r="X254" s="15" t="str">
        <f aca="false">IF(L254="中位60%",IF(W254="高",3,IF(W254="中",2,IF(W254="低",1,0)))+IF(M254="◎",1,0)+IF(N254="◎",1,0)+IF(O254="○",1,0)+IF(P254="○",1,0),"")</f>
        <v/>
      </c>
      <c r="Y254" s="20"/>
      <c r="Z254" s="18"/>
      <c r="AA254" s="20"/>
      <c r="AB254" s="20"/>
    </row>
    <row r="255" customFormat="false" ht="15" hidden="false" customHeight="false" outlineLevel="0" collapsed="false">
      <c r="A255" s="13" t="s">
        <v>592</v>
      </c>
      <c r="B255" s="14" t="s">
        <v>593</v>
      </c>
      <c r="C255" s="15" t="s">
        <v>406</v>
      </c>
      <c r="D255" s="15" t="n">
        <v>12</v>
      </c>
      <c r="E255" s="14" t="s">
        <v>91</v>
      </c>
      <c r="F255" s="15" t="s">
        <v>80</v>
      </c>
      <c r="G255" s="14"/>
      <c r="H255" s="17" t="n">
        <v>1</v>
      </c>
      <c r="I255" s="18"/>
      <c r="J255" s="15" t="n">
        <f aca="false">IF(AND(H255=1,N(I255)&gt;0),1,0)</f>
        <v>0</v>
      </c>
      <c r="K255" s="15" t="str">
        <f aca="false">IF(J255=1,SUMPRODUCT(($J$5:$J$312=1)*(N($I$5:$I$312)&gt;N(I255)))+1,"")</f>
        <v/>
      </c>
      <c r="L255" s="15" t="str">
        <f aca="false">IF(J255&lt;&gt;1,"",IF(K255&lt;=ROUND(SUM($J$5:$J$312)*0.2,0),"上位20%",IF(K255&lt;=ROUND(SUM($J$5:$J$312)*0.8,0),"中位60%","下位20%")))</f>
        <v/>
      </c>
      <c r="M255" s="15" t="str">
        <f aca="false">IF(F255="あり","◎","")</f>
        <v/>
      </c>
      <c r="N255" s="15" t="str">
        <f aca="false">IF(OR(LEFT(G255,1)="A",LEFT(G255,1)="B"),"◎","")</f>
        <v/>
      </c>
      <c r="O255" s="19"/>
      <c r="P255" s="19"/>
      <c r="Q255" s="19"/>
      <c r="R255" s="19"/>
      <c r="S255" s="19"/>
      <c r="T255" s="19"/>
      <c r="U255" s="19"/>
      <c r="V255" s="19"/>
      <c r="W255" s="15" t="str">
        <f aca="false">IF((N(Q255)+N(R255)+N(S255)+N(T255)+N(U255)+N(V255))=0,"",IF(AND((N(Q255)+N(R255)+N(T255))&gt;=2,(N(Q255)+N(R255)+N(S255)+N(T255)+N(U255)+N(V255))&gt;=4),"高",IF(AND((N(Q255)+N(R255)+N(T255))&gt;=1,(N(Q255)+N(R255)+N(S255)+N(T255)+N(U255)+N(V255))=3),"中","低")))</f>
        <v/>
      </c>
      <c r="X255" s="15" t="str">
        <f aca="false">IF(L255="中位60%",IF(W255="高",3,IF(W255="中",2,IF(W255="低",1,0)))+IF(M255="◎",1,0)+IF(N255="◎",1,0)+IF(O255="○",1,0)+IF(P255="○",1,0),"")</f>
        <v/>
      </c>
      <c r="Y255" s="20"/>
      <c r="Z255" s="18"/>
      <c r="AA255" s="20"/>
      <c r="AB255" s="20"/>
    </row>
    <row r="256" customFormat="false" ht="15" hidden="false" customHeight="false" outlineLevel="0" collapsed="false">
      <c r="A256" s="13" t="s">
        <v>594</v>
      </c>
      <c r="B256" s="14" t="s">
        <v>595</v>
      </c>
      <c r="C256" s="15" t="s">
        <v>406</v>
      </c>
      <c r="D256" s="15" t="n">
        <v>12</v>
      </c>
      <c r="E256" s="14" t="s">
        <v>91</v>
      </c>
      <c r="F256" s="15" t="s">
        <v>80</v>
      </c>
      <c r="G256" s="14"/>
      <c r="H256" s="17" t="n">
        <v>1</v>
      </c>
      <c r="I256" s="18"/>
      <c r="J256" s="15" t="n">
        <f aca="false">IF(AND(H256=1,N(I256)&gt;0),1,0)</f>
        <v>0</v>
      </c>
      <c r="K256" s="15" t="str">
        <f aca="false">IF(J256=1,SUMPRODUCT(($J$5:$J$312=1)*(N($I$5:$I$312)&gt;N(I256)))+1,"")</f>
        <v/>
      </c>
      <c r="L256" s="15" t="str">
        <f aca="false">IF(J256&lt;&gt;1,"",IF(K256&lt;=ROUND(SUM($J$5:$J$312)*0.2,0),"上位20%",IF(K256&lt;=ROUND(SUM($J$5:$J$312)*0.8,0),"中位60%","下位20%")))</f>
        <v/>
      </c>
      <c r="M256" s="15" t="str">
        <f aca="false">IF(F256="あり","◎","")</f>
        <v/>
      </c>
      <c r="N256" s="15" t="str">
        <f aca="false">IF(OR(LEFT(G256,1)="A",LEFT(G256,1)="B"),"◎","")</f>
        <v/>
      </c>
      <c r="O256" s="19"/>
      <c r="P256" s="19"/>
      <c r="Q256" s="19"/>
      <c r="R256" s="19"/>
      <c r="S256" s="19"/>
      <c r="T256" s="19"/>
      <c r="U256" s="19"/>
      <c r="V256" s="19"/>
      <c r="W256" s="15" t="str">
        <f aca="false">IF((N(Q256)+N(R256)+N(S256)+N(T256)+N(U256)+N(V256))=0,"",IF(AND((N(Q256)+N(R256)+N(T256))&gt;=2,(N(Q256)+N(R256)+N(S256)+N(T256)+N(U256)+N(V256))&gt;=4),"高",IF(AND((N(Q256)+N(R256)+N(T256))&gt;=1,(N(Q256)+N(R256)+N(S256)+N(T256)+N(U256)+N(V256))=3),"中","低")))</f>
        <v/>
      </c>
      <c r="X256" s="15" t="str">
        <f aca="false">IF(L256="中位60%",IF(W256="高",3,IF(W256="中",2,IF(W256="低",1,0)))+IF(M256="◎",1,0)+IF(N256="◎",1,0)+IF(O256="○",1,0)+IF(P256="○",1,0),"")</f>
        <v/>
      </c>
      <c r="Y256" s="20"/>
      <c r="Z256" s="18"/>
      <c r="AA256" s="20"/>
      <c r="AB256" s="20"/>
    </row>
    <row r="257" customFormat="false" ht="15" hidden="false" customHeight="false" outlineLevel="0" collapsed="false">
      <c r="A257" s="13" t="s">
        <v>596</v>
      </c>
      <c r="B257" s="14" t="s">
        <v>597</v>
      </c>
      <c r="C257" s="15" t="s">
        <v>406</v>
      </c>
      <c r="D257" s="15" t="n">
        <v>12</v>
      </c>
      <c r="E257" s="14" t="s">
        <v>91</v>
      </c>
      <c r="F257" s="15" t="s">
        <v>80</v>
      </c>
      <c r="G257" s="14"/>
      <c r="H257" s="17" t="n">
        <v>1</v>
      </c>
      <c r="I257" s="18"/>
      <c r="J257" s="15" t="n">
        <f aca="false">IF(AND(H257=1,N(I257)&gt;0),1,0)</f>
        <v>0</v>
      </c>
      <c r="K257" s="15" t="str">
        <f aca="false">IF(J257=1,SUMPRODUCT(($J$5:$J$312=1)*(N($I$5:$I$312)&gt;N(I257)))+1,"")</f>
        <v/>
      </c>
      <c r="L257" s="15" t="str">
        <f aca="false">IF(J257&lt;&gt;1,"",IF(K257&lt;=ROUND(SUM($J$5:$J$312)*0.2,0),"上位20%",IF(K257&lt;=ROUND(SUM($J$5:$J$312)*0.8,0),"中位60%","下位20%")))</f>
        <v/>
      </c>
      <c r="M257" s="15" t="str">
        <f aca="false">IF(F257="あり","◎","")</f>
        <v/>
      </c>
      <c r="N257" s="15" t="str">
        <f aca="false">IF(OR(LEFT(G257,1)="A",LEFT(G257,1)="B"),"◎","")</f>
        <v/>
      </c>
      <c r="O257" s="19"/>
      <c r="P257" s="19"/>
      <c r="Q257" s="19"/>
      <c r="R257" s="19"/>
      <c r="S257" s="19"/>
      <c r="T257" s="19"/>
      <c r="U257" s="19"/>
      <c r="V257" s="19"/>
      <c r="W257" s="15" t="str">
        <f aca="false">IF((N(Q257)+N(R257)+N(S257)+N(T257)+N(U257)+N(V257))=0,"",IF(AND((N(Q257)+N(R257)+N(T257))&gt;=2,(N(Q257)+N(R257)+N(S257)+N(T257)+N(U257)+N(V257))&gt;=4),"高",IF(AND((N(Q257)+N(R257)+N(T257))&gt;=1,(N(Q257)+N(R257)+N(S257)+N(T257)+N(U257)+N(V257))=3),"中","低")))</f>
        <v/>
      </c>
      <c r="X257" s="15" t="str">
        <f aca="false">IF(L257="中位60%",IF(W257="高",3,IF(W257="中",2,IF(W257="低",1,0)))+IF(M257="◎",1,0)+IF(N257="◎",1,0)+IF(O257="○",1,0)+IF(P257="○",1,0),"")</f>
        <v/>
      </c>
      <c r="Y257" s="20"/>
      <c r="Z257" s="18"/>
      <c r="AA257" s="20"/>
      <c r="AB257" s="20"/>
    </row>
    <row r="258" customFormat="false" ht="15" hidden="false" customHeight="false" outlineLevel="0" collapsed="false">
      <c r="A258" s="13" t="s">
        <v>598</v>
      </c>
      <c r="B258" s="14" t="s">
        <v>599</v>
      </c>
      <c r="C258" s="15" t="s">
        <v>406</v>
      </c>
      <c r="D258" s="15" t="n">
        <v>12</v>
      </c>
      <c r="E258" s="14"/>
      <c r="F258" s="15" t="s">
        <v>80</v>
      </c>
      <c r="G258" s="14"/>
      <c r="H258" s="17" t="n">
        <v>1</v>
      </c>
      <c r="I258" s="18"/>
      <c r="J258" s="15" t="n">
        <f aca="false">IF(AND(H258=1,N(I258)&gt;0),1,0)</f>
        <v>0</v>
      </c>
      <c r="K258" s="15" t="str">
        <f aca="false">IF(J258=1,SUMPRODUCT(($J$5:$J$312=1)*(N($I$5:$I$312)&gt;N(I258)))+1,"")</f>
        <v/>
      </c>
      <c r="L258" s="15" t="str">
        <f aca="false">IF(J258&lt;&gt;1,"",IF(K258&lt;=ROUND(SUM($J$5:$J$312)*0.2,0),"上位20%",IF(K258&lt;=ROUND(SUM($J$5:$J$312)*0.8,0),"中位60%","下位20%")))</f>
        <v/>
      </c>
      <c r="M258" s="15" t="str">
        <f aca="false">IF(F258="あり","◎","")</f>
        <v/>
      </c>
      <c r="N258" s="15" t="str">
        <f aca="false">IF(OR(LEFT(G258,1)="A",LEFT(G258,1)="B"),"◎","")</f>
        <v/>
      </c>
      <c r="O258" s="19"/>
      <c r="P258" s="19"/>
      <c r="Q258" s="19"/>
      <c r="R258" s="19"/>
      <c r="S258" s="19"/>
      <c r="T258" s="19"/>
      <c r="U258" s="19"/>
      <c r="V258" s="19"/>
      <c r="W258" s="15" t="str">
        <f aca="false">IF((N(Q258)+N(R258)+N(S258)+N(T258)+N(U258)+N(V258))=0,"",IF(AND((N(Q258)+N(R258)+N(T258))&gt;=2,(N(Q258)+N(R258)+N(S258)+N(T258)+N(U258)+N(V258))&gt;=4),"高",IF(AND((N(Q258)+N(R258)+N(T258))&gt;=1,(N(Q258)+N(R258)+N(S258)+N(T258)+N(U258)+N(V258))=3),"中","低")))</f>
        <v/>
      </c>
      <c r="X258" s="15" t="str">
        <f aca="false">IF(L258="中位60%",IF(W258="高",3,IF(W258="中",2,IF(W258="低",1,0)))+IF(M258="◎",1,0)+IF(N258="◎",1,0)+IF(O258="○",1,0)+IF(P258="○",1,0),"")</f>
        <v/>
      </c>
      <c r="Y258" s="20"/>
      <c r="Z258" s="18"/>
      <c r="AA258" s="20"/>
      <c r="AB258" s="20"/>
    </row>
    <row r="259" customFormat="false" ht="15" hidden="false" customHeight="false" outlineLevel="0" collapsed="false">
      <c r="A259" s="13" t="s">
        <v>600</v>
      </c>
      <c r="B259" s="14" t="s">
        <v>601</v>
      </c>
      <c r="C259" s="15" t="s">
        <v>406</v>
      </c>
      <c r="D259" s="15" t="n">
        <v>12</v>
      </c>
      <c r="E259" s="14" t="s">
        <v>79</v>
      </c>
      <c r="F259" s="15" t="s">
        <v>80</v>
      </c>
      <c r="G259" s="14"/>
      <c r="H259" s="17" t="n">
        <v>1</v>
      </c>
      <c r="I259" s="18"/>
      <c r="J259" s="15" t="n">
        <f aca="false">IF(AND(H259=1,N(I259)&gt;0),1,0)</f>
        <v>0</v>
      </c>
      <c r="K259" s="15" t="str">
        <f aca="false">IF(J259=1,SUMPRODUCT(($J$5:$J$312=1)*(N($I$5:$I$312)&gt;N(I259)))+1,"")</f>
        <v/>
      </c>
      <c r="L259" s="15" t="str">
        <f aca="false">IF(J259&lt;&gt;1,"",IF(K259&lt;=ROUND(SUM($J$5:$J$312)*0.2,0),"上位20%",IF(K259&lt;=ROUND(SUM($J$5:$J$312)*0.8,0),"中位60%","下位20%")))</f>
        <v/>
      </c>
      <c r="M259" s="15" t="str">
        <f aca="false">IF(F259="あり","◎","")</f>
        <v/>
      </c>
      <c r="N259" s="15" t="str">
        <f aca="false">IF(OR(LEFT(G259,1)="A",LEFT(G259,1)="B"),"◎","")</f>
        <v/>
      </c>
      <c r="O259" s="19"/>
      <c r="P259" s="19"/>
      <c r="Q259" s="19"/>
      <c r="R259" s="19"/>
      <c r="S259" s="19"/>
      <c r="T259" s="19"/>
      <c r="U259" s="19"/>
      <c r="V259" s="19"/>
      <c r="W259" s="15" t="str">
        <f aca="false">IF((N(Q259)+N(R259)+N(S259)+N(T259)+N(U259)+N(V259))=0,"",IF(AND((N(Q259)+N(R259)+N(T259))&gt;=2,(N(Q259)+N(R259)+N(S259)+N(T259)+N(U259)+N(V259))&gt;=4),"高",IF(AND((N(Q259)+N(R259)+N(T259))&gt;=1,(N(Q259)+N(R259)+N(S259)+N(T259)+N(U259)+N(V259))=3),"中","低")))</f>
        <v/>
      </c>
      <c r="X259" s="15" t="str">
        <f aca="false">IF(L259="中位60%",IF(W259="高",3,IF(W259="中",2,IF(W259="低",1,0)))+IF(M259="◎",1,0)+IF(N259="◎",1,0)+IF(O259="○",1,0)+IF(P259="○",1,0),"")</f>
        <v/>
      </c>
      <c r="Y259" s="20"/>
      <c r="Z259" s="18"/>
      <c r="AA259" s="20"/>
      <c r="AB259" s="20"/>
    </row>
    <row r="260" customFormat="false" ht="15" hidden="false" customHeight="false" outlineLevel="0" collapsed="false">
      <c r="A260" s="13" t="s">
        <v>602</v>
      </c>
      <c r="B260" s="14" t="s">
        <v>603</v>
      </c>
      <c r="C260" s="15" t="s">
        <v>406</v>
      </c>
      <c r="D260" s="15" t="n">
        <v>12</v>
      </c>
      <c r="E260" s="14"/>
      <c r="F260" s="15" t="s">
        <v>63</v>
      </c>
      <c r="G260" s="14"/>
      <c r="H260" s="17" t="n">
        <v>1</v>
      </c>
      <c r="I260" s="18"/>
      <c r="J260" s="15" t="n">
        <f aca="false">IF(AND(H260=1,N(I260)&gt;0),1,0)</f>
        <v>0</v>
      </c>
      <c r="K260" s="15" t="str">
        <f aca="false">IF(J260=1,SUMPRODUCT(($J$5:$J$312=1)*(N($I$5:$I$312)&gt;N(I260)))+1,"")</f>
        <v/>
      </c>
      <c r="L260" s="15" t="str">
        <f aca="false">IF(J260&lt;&gt;1,"",IF(K260&lt;=ROUND(SUM($J$5:$J$312)*0.2,0),"上位20%",IF(K260&lt;=ROUND(SUM($J$5:$J$312)*0.8,0),"中位60%","下位20%")))</f>
        <v/>
      </c>
      <c r="M260" s="15" t="str">
        <f aca="false">IF(F260="あり","◎","")</f>
        <v>◎</v>
      </c>
      <c r="N260" s="15" t="str">
        <f aca="false">IF(OR(LEFT(G260,1)="A",LEFT(G260,1)="B"),"◎","")</f>
        <v/>
      </c>
      <c r="O260" s="19"/>
      <c r="P260" s="19"/>
      <c r="Q260" s="19"/>
      <c r="R260" s="19"/>
      <c r="S260" s="19"/>
      <c r="T260" s="19"/>
      <c r="U260" s="19"/>
      <c r="V260" s="19"/>
      <c r="W260" s="15" t="str">
        <f aca="false">IF((N(Q260)+N(R260)+N(S260)+N(T260)+N(U260)+N(V260))=0,"",IF(AND((N(Q260)+N(R260)+N(T260))&gt;=2,(N(Q260)+N(R260)+N(S260)+N(T260)+N(U260)+N(V260))&gt;=4),"高",IF(AND((N(Q260)+N(R260)+N(T260))&gt;=1,(N(Q260)+N(R260)+N(S260)+N(T260)+N(U260)+N(V260))=3),"中","低")))</f>
        <v/>
      </c>
      <c r="X260" s="15" t="str">
        <f aca="false">IF(L260="中位60%",IF(W260="高",3,IF(W260="中",2,IF(W260="低",1,0)))+IF(M260="◎",1,0)+IF(N260="◎",1,0)+IF(O260="○",1,0)+IF(P260="○",1,0),"")</f>
        <v/>
      </c>
      <c r="Y260" s="20"/>
      <c r="Z260" s="18"/>
      <c r="AA260" s="20"/>
      <c r="AB260" s="20"/>
    </row>
    <row r="261" customFormat="false" ht="15" hidden="false" customHeight="false" outlineLevel="0" collapsed="false">
      <c r="A261" s="13" t="s">
        <v>604</v>
      </c>
      <c r="B261" s="14" t="s">
        <v>605</v>
      </c>
      <c r="C261" s="15" t="s">
        <v>406</v>
      </c>
      <c r="D261" s="15" t="n">
        <v>12</v>
      </c>
      <c r="E261" s="14"/>
      <c r="F261" s="15" t="s">
        <v>80</v>
      </c>
      <c r="G261" s="14"/>
      <c r="H261" s="17" t="n">
        <v>1</v>
      </c>
      <c r="I261" s="18"/>
      <c r="J261" s="15" t="n">
        <f aca="false">IF(AND(H261=1,N(I261)&gt;0),1,0)</f>
        <v>0</v>
      </c>
      <c r="K261" s="15" t="str">
        <f aca="false">IF(J261=1,SUMPRODUCT(($J$5:$J$312=1)*(N($I$5:$I$312)&gt;N(I261)))+1,"")</f>
        <v/>
      </c>
      <c r="L261" s="15" t="str">
        <f aca="false">IF(J261&lt;&gt;1,"",IF(K261&lt;=ROUND(SUM($J$5:$J$312)*0.2,0),"上位20%",IF(K261&lt;=ROUND(SUM($J$5:$J$312)*0.8,0),"中位60%","下位20%")))</f>
        <v/>
      </c>
      <c r="M261" s="15" t="str">
        <f aca="false">IF(F261="あり","◎","")</f>
        <v/>
      </c>
      <c r="N261" s="15" t="str">
        <f aca="false">IF(OR(LEFT(G261,1)="A",LEFT(G261,1)="B"),"◎","")</f>
        <v/>
      </c>
      <c r="O261" s="19"/>
      <c r="P261" s="19"/>
      <c r="Q261" s="19"/>
      <c r="R261" s="19"/>
      <c r="S261" s="19"/>
      <c r="T261" s="19"/>
      <c r="U261" s="19"/>
      <c r="V261" s="19"/>
      <c r="W261" s="15" t="str">
        <f aca="false">IF((N(Q261)+N(R261)+N(S261)+N(T261)+N(U261)+N(V261))=0,"",IF(AND((N(Q261)+N(R261)+N(T261))&gt;=2,(N(Q261)+N(R261)+N(S261)+N(T261)+N(U261)+N(V261))&gt;=4),"高",IF(AND((N(Q261)+N(R261)+N(T261))&gt;=1,(N(Q261)+N(R261)+N(S261)+N(T261)+N(U261)+N(V261))=3),"中","低")))</f>
        <v/>
      </c>
      <c r="X261" s="15" t="str">
        <f aca="false">IF(L261="中位60%",IF(W261="高",3,IF(W261="中",2,IF(W261="低",1,0)))+IF(M261="◎",1,0)+IF(N261="◎",1,0)+IF(O261="○",1,0)+IF(P261="○",1,0),"")</f>
        <v/>
      </c>
      <c r="Y261" s="20"/>
      <c r="Z261" s="18"/>
      <c r="AA261" s="20"/>
      <c r="AB261" s="20"/>
    </row>
    <row r="262" customFormat="false" ht="15" hidden="false" customHeight="false" outlineLevel="0" collapsed="false">
      <c r="A262" s="13" t="s">
        <v>606</v>
      </c>
      <c r="B262" s="14" t="s">
        <v>607</v>
      </c>
      <c r="C262" s="15" t="s">
        <v>406</v>
      </c>
      <c r="D262" s="15" t="n">
        <v>12</v>
      </c>
      <c r="E262" s="14" t="s">
        <v>83</v>
      </c>
      <c r="F262" s="15" t="s">
        <v>80</v>
      </c>
      <c r="G262" s="14"/>
      <c r="H262" s="17" t="n">
        <v>1</v>
      </c>
      <c r="I262" s="18"/>
      <c r="J262" s="15" t="n">
        <f aca="false">IF(AND(H262=1,N(I262)&gt;0),1,0)</f>
        <v>0</v>
      </c>
      <c r="K262" s="15" t="str">
        <f aca="false">IF(J262=1,SUMPRODUCT(($J$5:$J$312=1)*(N($I$5:$I$312)&gt;N(I262)))+1,"")</f>
        <v/>
      </c>
      <c r="L262" s="15" t="str">
        <f aca="false">IF(J262&lt;&gt;1,"",IF(K262&lt;=ROUND(SUM($J$5:$J$312)*0.2,0),"上位20%",IF(K262&lt;=ROUND(SUM($J$5:$J$312)*0.8,0),"中位60%","下位20%")))</f>
        <v/>
      </c>
      <c r="M262" s="15" t="str">
        <f aca="false">IF(F262="あり","◎","")</f>
        <v/>
      </c>
      <c r="N262" s="15" t="str">
        <f aca="false">IF(OR(LEFT(G262,1)="A",LEFT(G262,1)="B"),"◎","")</f>
        <v/>
      </c>
      <c r="O262" s="19"/>
      <c r="P262" s="19"/>
      <c r="Q262" s="19"/>
      <c r="R262" s="19"/>
      <c r="S262" s="19"/>
      <c r="T262" s="19"/>
      <c r="U262" s="19"/>
      <c r="V262" s="19"/>
      <c r="W262" s="15" t="str">
        <f aca="false">IF((N(Q262)+N(R262)+N(S262)+N(T262)+N(U262)+N(V262))=0,"",IF(AND((N(Q262)+N(R262)+N(T262))&gt;=2,(N(Q262)+N(R262)+N(S262)+N(T262)+N(U262)+N(V262))&gt;=4),"高",IF(AND((N(Q262)+N(R262)+N(T262))&gt;=1,(N(Q262)+N(R262)+N(S262)+N(T262)+N(U262)+N(V262))=3),"中","低")))</f>
        <v/>
      </c>
      <c r="X262" s="15" t="str">
        <f aca="false">IF(L262="中位60%",IF(W262="高",3,IF(W262="中",2,IF(W262="低",1,0)))+IF(M262="◎",1,0)+IF(N262="◎",1,0)+IF(O262="○",1,0)+IF(P262="○",1,0),"")</f>
        <v/>
      </c>
      <c r="Y262" s="20"/>
      <c r="Z262" s="18"/>
      <c r="AA262" s="20"/>
      <c r="AB262" s="20"/>
    </row>
    <row r="263" customFormat="false" ht="15" hidden="false" customHeight="false" outlineLevel="0" collapsed="false">
      <c r="A263" s="13" t="s">
        <v>608</v>
      </c>
      <c r="B263" s="14" t="s">
        <v>609</v>
      </c>
      <c r="C263" s="15" t="s">
        <v>406</v>
      </c>
      <c r="D263" s="15" t="n">
        <v>12</v>
      </c>
      <c r="E263" s="14" t="s">
        <v>75</v>
      </c>
      <c r="F263" s="15" t="s">
        <v>80</v>
      </c>
      <c r="G263" s="14"/>
      <c r="H263" s="17" t="n">
        <v>1</v>
      </c>
      <c r="I263" s="18"/>
      <c r="J263" s="15" t="n">
        <f aca="false">IF(AND(H263=1,N(I263)&gt;0),1,0)</f>
        <v>0</v>
      </c>
      <c r="K263" s="15" t="str">
        <f aca="false">IF(J263=1,SUMPRODUCT(($J$5:$J$312=1)*(N($I$5:$I$312)&gt;N(I263)))+1,"")</f>
        <v/>
      </c>
      <c r="L263" s="15" t="str">
        <f aca="false">IF(J263&lt;&gt;1,"",IF(K263&lt;=ROUND(SUM($J$5:$J$312)*0.2,0),"上位20%",IF(K263&lt;=ROUND(SUM($J$5:$J$312)*0.8,0),"中位60%","下位20%")))</f>
        <v/>
      </c>
      <c r="M263" s="15" t="str">
        <f aca="false">IF(F263="あり","◎","")</f>
        <v/>
      </c>
      <c r="N263" s="15" t="str">
        <f aca="false">IF(OR(LEFT(G263,1)="A",LEFT(G263,1)="B"),"◎","")</f>
        <v/>
      </c>
      <c r="O263" s="19"/>
      <c r="P263" s="19"/>
      <c r="Q263" s="19"/>
      <c r="R263" s="19"/>
      <c r="S263" s="19"/>
      <c r="T263" s="19"/>
      <c r="U263" s="19"/>
      <c r="V263" s="19"/>
      <c r="W263" s="15" t="str">
        <f aca="false">IF((N(Q263)+N(R263)+N(S263)+N(T263)+N(U263)+N(V263))=0,"",IF(AND((N(Q263)+N(R263)+N(T263))&gt;=2,(N(Q263)+N(R263)+N(S263)+N(T263)+N(U263)+N(V263))&gt;=4),"高",IF(AND((N(Q263)+N(R263)+N(T263))&gt;=1,(N(Q263)+N(R263)+N(S263)+N(T263)+N(U263)+N(V263))=3),"中","低")))</f>
        <v/>
      </c>
      <c r="X263" s="15" t="str">
        <f aca="false">IF(L263="中位60%",IF(W263="高",3,IF(W263="中",2,IF(W263="低",1,0)))+IF(M263="◎",1,0)+IF(N263="◎",1,0)+IF(O263="○",1,0)+IF(P263="○",1,0),"")</f>
        <v/>
      </c>
      <c r="Y263" s="20"/>
      <c r="Z263" s="18"/>
      <c r="AA263" s="20"/>
      <c r="AB263" s="20"/>
    </row>
    <row r="264" customFormat="false" ht="15" hidden="false" customHeight="false" outlineLevel="0" collapsed="false">
      <c r="A264" s="13" t="s">
        <v>610</v>
      </c>
      <c r="B264" s="14" t="s">
        <v>611</v>
      </c>
      <c r="C264" s="15" t="s">
        <v>406</v>
      </c>
      <c r="D264" s="15" t="n">
        <v>12</v>
      </c>
      <c r="E264" s="14" t="s">
        <v>83</v>
      </c>
      <c r="F264" s="15" t="s">
        <v>63</v>
      </c>
      <c r="G264" s="14"/>
      <c r="H264" s="17" t="n">
        <v>1</v>
      </c>
      <c r="I264" s="18"/>
      <c r="J264" s="15" t="n">
        <f aca="false">IF(AND(H264=1,N(I264)&gt;0),1,0)</f>
        <v>0</v>
      </c>
      <c r="K264" s="15" t="str">
        <f aca="false">IF(J264=1,SUMPRODUCT(($J$5:$J$312=1)*(N($I$5:$I$312)&gt;N(I264)))+1,"")</f>
        <v/>
      </c>
      <c r="L264" s="15" t="str">
        <f aca="false">IF(J264&lt;&gt;1,"",IF(K264&lt;=ROUND(SUM($J$5:$J$312)*0.2,0),"上位20%",IF(K264&lt;=ROUND(SUM($J$5:$J$312)*0.8,0),"中位60%","下位20%")))</f>
        <v/>
      </c>
      <c r="M264" s="15" t="str">
        <f aca="false">IF(F264="あり","◎","")</f>
        <v>◎</v>
      </c>
      <c r="N264" s="15" t="str">
        <f aca="false">IF(OR(LEFT(G264,1)="A",LEFT(G264,1)="B"),"◎","")</f>
        <v/>
      </c>
      <c r="O264" s="19"/>
      <c r="P264" s="19"/>
      <c r="Q264" s="19"/>
      <c r="R264" s="19"/>
      <c r="S264" s="19"/>
      <c r="T264" s="19"/>
      <c r="U264" s="19"/>
      <c r="V264" s="19"/>
      <c r="W264" s="15" t="str">
        <f aca="false">IF((N(Q264)+N(R264)+N(S264)+N(T264)+N(U264)+N(V264))=0,"",IF(AND((N(Q264)+N(R264)+N(T264))&gt;=2,(N(Q264)+N(R264)+N(S264)+N(T264)+N(U264)+N(V264))&gt;=4),"高",IF(AND((N(Q264)+N(R264)+N(T264))&gt;=1,(N(Q264)+N(R264)+N(S264)+N(T264)+N(U264)+N(V264))=3),"中","低")))</f>
        <v/>
      </c>
      <c r="X264" s="15" t="str">
        <f aca="false">IF(L264="中位60%",IF(W264="高",3,IF(W264="中",2,IF(W264="低",1,0)))+IF(M264="◎",1,0)+IF(N264="◎",1,0)+IF(O264="○",1,0)+IF(P264="○",1,0),"")</f>
        <v/>
      </c>
      <c r="Y264" s="20"/>
      <c r="Z264" s="18"/>
      <c r="AA264" s="20"/>
      <c r="AB264" s="20"/>
    </row>
    <row r="265" customFormat="false" ht="15" hidden="false" customHeight="false" outlineLevel="0" collapsed="false">
      <c r="A265" s="13" t="s">
        <v>612</v>
      </c>
      <c r="B265" s="14" t="s">
        <v>613</v>
      </c>
      <c r="C265" s="15" t="s">
        <v>406</v>
      </c>
      <c r="D265" s="15" t="n">
        <v>12</v>
      </c>
      <c r="E265" s="14" t="s">
        <v>117</v>
      </c>
      <c r="F265" s="15" t="s">
        <v>80</v>
      </c>
      <c r="G265" s="14"/>
      <c r="H265" s="17" t="n">
        <v>1</v>
      </c>
      <c r="I265" s="18"/>
      <c r="J265" s="15" t="n">
        <f aca="false">IF(AND(H265=1,N(I265)&gt;0),1,0)</f>
        <v>0</v>
      </c>
      <c r="K265" s="15" t="str">
        <f aca="false">IF(J265=1,SUMPRODUCT(($J$5:$J$312=1)*(N($I$5:$I$312)&gt;N(I265)))+1,"")</f>
        <v/>
      </c>
      <c r="L265" s="15" t="str">
        <f aca="false">IF(J265&lt;&gt;1,"",IF(K265&lt;=ROUND(SUM($J$5:$J$312)*0.2,0),"上位20%",IF(K265&lt;=ROUND(SUM($J$5:$J$312)*0.8,0),"中位60%","下位20%")))</f>
        <v/>
      </c>
      <c r="M265" s="15" t="str">
        <f aca="false">IF(F265="あり","◎","")</f>
        <v/>
      </c>
      <c r="N265" s="15" t="str">
        <f aca="false">IF(OR(LEFT(G265,1)="A",LEFT(G265,1)="B"),"◎","")</f>
        <v/>
      </c>
      <c r="O265" s="19"/>
      <c r="P265" s="19"/>
      <c r="Q265" s="19"/>
      <c r="R265" s="19"/>
      <c r="S265" s="19"/>
      <c r="T265" s="19"/>
      <c r="U265" s="19"/>
      <c r="V265" s="19"/>
      <c r="W265" s="15" t="str">
        <f aca="false">IF((N(Q265)+N(R265)+N(S265)+N(T265)+N(U265)+N(V265))=0,"",IF(AND((N(Q265)+N(R265)+N(T265))&gt;=2,(N(Q265)+N(R265)+N(S265)+N(T265)+N(U265)+N(V265))&gt;=4),"高",IF(AND((N(Q265)+N(R265)+N(T265))&gt;=1,(N(Q265)+N(R265)+N(S265)+N(T265)+N(U265)+N(V265))=3),"中","低")))</f>
        <v/>
      </c>
      <c r="X265" s="15" t="str">
        <f aca="false">IF(L265="中位60%",IF(W265="高",3,IF(W265="中",2,IF(W265="低",1,0)))+IF(M265="◎",1,0)+IF(N265="◎",1,0)+IF(O265="○",1,0)+IF(P265="○",1,0),"")</f>
        <v/>
      </c>
      <c r="Y265" s="20"/>
      <c r="Z265" s="18"/>
      <c r="AA265" s="20"/>
      <c r="AB265" s="20"/>
    </row>
    <row r="266" customFormat="false" ht="15" hidden="false" customHeight="false" outlineLevel="0" collapsed="false">
      <c r="A266" s="13" t="s">
        <v>614</v>
      </c>
      <c r="B266" s="14" t="s">
        <v>615</v>
      </c>
      <c r="C266" s="15" t="s">
        <v>406</v>
      </c>
      <c r="D266" s="15" t="n">
        <v>12</v>
      </c>
      <c r="E266" s="14"/>
      <c r="F266" s="15" t="s">
        <v>80</v>
      </c>
      <c r="G266" s="14"/>
      <c r="H266" s="17" t="n">
        <v>1</v>
      </c>
      <c r="I266" s="18"/>
      <c r="J266" s="15" t="n">
        <f aca="false">IF(AND(H266=1,N(I266)&gt;0),1,0)</f>
        <v>0</v>
      </c>
      <c r="K266" s="15" t="str">
        <f aca="false">IF(J266=1,SUMPRODUCT(($J$5:$J$312=1)*(N($I$5:$I$312)&gt;N(I266)))+1,"")</f>
        <v/>
      </c>
      <c r="L266" s="15" t="str">
        <f aca="false">IF(J266&lt;&gt;1,"",IF(K266&lt;=ROUND(SUM($J$5:$J$312)*0.2,0),"上位20%",IF(K266&lt;=ROUND(SUM($J$5:$J$312)*0.8,0),"中位60%","下位20%")))</f>
        <v/>
      </c>
      <c r="M266" s="15" t="str">
        <f aca="false">IF(F266="あり","◎","")</f>
        <v/>
      </c>
      <c r="N266" s="15" t="str">
        <f aca="false">IF(OR(LEFT(G266,1)="A",LEFT(G266,1)="B"),"◎","")</f>
        <v/>
      </c>
      <c r="O266" s="19"/>
      <c r="P266" s="19"/>
      <c r="Q266" s="19"/>
      <c r="R266" s="19"/>
      <c r="S266" s="19"/>
      <c r="T266" s="19"/>
      <c r="U266" s="19"/>
      <c r="V266" s="19"/>
      <c r="W266" s="15" t="str">
        <f aca="false">IF((N(Q266)+N(R266)+N(S266)+N(T266)+N(U266)+N(V266))=0,"",IF(AND((N(Q266)+N(R266)+N(T266))&gt;=2,(N(Q266)+N(R266)+N(S266)+N(T266)+N(U266)+N(V266))&gt;=4),"高",IF(AND((N(Q266)+N(R266)+N(T266))&gt;=1,(N(Q266)+N(R266)+N(S266)+N(T266)+N(U266)+N(V266))=3),"中","低")))</f>
        <v/>
      </c>
      <c r="X266" s="15" t="str">
        <f aca="false">IF(L266="中位60%",IF(W266="高",3,IF(W266="中",2,IF(W266="低",1,0)))+IF(M266="◎",1,0)+IF(N266="◎",1,0)+IF(O266="○",1,0)+IF(P266="○",1,0),"")</f>
        <v/>
      </c>
      <c r="Y266" s="20"/>
      <c r="Z266" s="18"/>
      <c r="AA266" s="20"/>
      <c r="AB266" s="20"/>
    </row>
    <row r="267" customFormat="false" ht="15" hidden="false" customHeight="false" outlineLevel="0" collapsed="false">
      <c r="A267" s="13" t="s">
        <v>616</v>
      </c>
      <c r="B267" s="14" t="s">
        <v>617</v>
      </c>
      <c r="C267" s="15" t="s">
        <v>406</v>
      </c>
      <c r="D267" s="15" t="n">
        <v>12</v>
      </c>
      <c r="E267" s="14"/>
      <c r="F267" s="15" t="s">
        <v>80</v>
      </c>
      <c r="G267" s="14"/>
      <c r="H267" s="17" t="n">
        <v>1</v>
      </c>
      <c r="I267" s="18"/>
      <c r="J267" s="15" t="n">
        <f aca="false">IF(AND(H267=1,N(I267)&gt;0),1,0)</f>
        <v>0</v>
      </c>
      <c r="K267" s="15" t="str">
        <f aca="false">IF(J267=1,SUMPRODUCT(($J$5:$J$312=1)*(N($I$5:$I$312)&gt;N(I267)))+1,"")</f>
        <v/>
      </c>
      <c r="L267" s="15" t="str">
        <f aca="false">IF(J267&lt;&gt;1,"",IF(K267&lt;=ROUND(SUM($J$5:$J$312)*0.2,0),"上位20%",IF(K267&lt;=ROUND(SUM($J$5:$J$312)*0.8,0),"中位60%","下位20%")))</f>
        <v/>
      </c>
      <c r="M267" s="15" t="str">
        <f aca="false">IF(F267="あり","◎","")</f>
        <v/>
      </c>
      <c r="N267" s="15" t="str">
        <f aca="false">IF(OR(LEFT(G267,1)="A",LEFT(G267,1)="B"),"◎","")</f>
        <v/>
      </c>
      <c r="O267" s="19"/>
      <c r="P267" s="19"/>
      <c r="Q267" s="19"/>
      <c r="R267" s="19"/>
      <c r="S267" s="19"/>
      <c r="T267" s="19"/>
      <c r="U267" s="19"/>
      <c r="V267" s="19"/>
      <c r="W267" s="15" t="str">
        <f aca="false">IF((N(Q267)+N(R267)+N(S267)+N(T267)+N(U267)+N(V267))=0,"",IF(AND((N(Q267)+N(R267)+N(T267))&gt;=2,(N(Q267)+N(R267)+N(S267)+N(T267)+N(U267)+N(V267))&gt;=4),"高",IF(AND((N(Q267)+N(R267)+N(T267))&gt;=1,(N(Q267)+N(R267)+N(S267)+N(T267)+N(U267)+N(V267))=3),"中","低")))</f>
        <v/>
      </c>
      <c r="X267" s="15" t="str">
        <f aca="false">IF(L267="中位60%",IF(W267="高",3,IF(W267="中",2,IF(W267="低",1,0)))+IF(M267="◎",1,0)+IF(N267="◎",1,0)+IF(O267="○",1,0)+IF(P267="○",1,0),"")</f>
        <v/>
      </c>
      <c r="Y267" s="20"/>
      <c r="Z267" s="18"/>
      <c r="AA267" s="20"/>
      <c r="AB267" s="20"/>
    </row>
    <row r="268" customFormat="false" ht="15" hidden="false" customHeight="false" outlineLevel="0" collapsed="false">
      <c r="A268" s="13" t="s">
        <v>618</v>
      </c>
      <c r="B268" s="14" t="s">
        <v>619</v>
      </c>
      <c r="C268" s="15" t="s">
        <v>406</v>
      </c>
      <c r="D268" s="15" t="n">
        <v>12</v>
      </c>
      <c r="E268" s="14" t="s">
        <v>117</v>
      </c>
      <c r="F268" s="15" t="s">
        <v>80</v>
      </c>
      <c r="G268" s="14"/>
      <c r="H268" s="17" t="n">
        <v>1</v>
      </c>
      <c r="I268" s="18"/>
      <c r="J268" s="15" t="n">
        <f aca="false">IF(AND(H268=1,N(I268)&gt;0),1,0)</f>
        <v>0</v>
      </c>
      <c r="K268" s="15" t="str">
        <f aca="false">IF(J268=1,SUMPRODUCT(($J$5:$J$312=1)*(N($I$5:$I$312)&gt;N(I268)))+1,"")</f>
        <v/>
      </c>
      <c r="L268" s="15" t="str">
        <f aca="false">IF(J268&lt;&gt;1,"",IF(K268&lt;=ROUND(SUM($J$5:$J$312)*0.2,0),"上位20%",IF(K268&lt;=ROUND(SUM($J$5:$J$312)*0.8,0),"中位60%","下位20%")))</f>
        <v/>
      </c>
      <c r="M268" s="15" t="str">
        <f aca="false">IF(F268="あり","◎","")</f>
        <v/>
      </c>
      <c r="N268" s="15" t="str">
        <f aca="false">IF(OR(LEFT(G268,1)="A",LEFT(G268,1)="B"),"◎","")</f>
        <v/>
      </c>
      <c r="O268" s="19"/>
      <c r="P268" s="19"/>
      <c r="Q268" s="19"/>
      <c r="R268" s="19"/>
      <c r="S268" s="19"/>
      <c r="T268" s="19"/>
      <c r="U268" s="19"/>
      <c r="V268" s="19"/>
      <c r="W268" s="15" t="str">
        <f aca="false">IF((N(Q268)+N(R268)+N(S268)+N(T268)+N(U268)+N(V268))=0,"",IF(AND((N(Q268)+N(R268)+N(T268))&gt;=2,(N(Q268)+N(R268)+N(S268)+N(T268)+N(U268)+N(V268))&gt;=4),"高",IF(AND((N(Q268)+N(R268)+N(T268))&gt;=1,(N(Q268)+N(R268)+N(S268)+N(T268)+N(U268)+N(V268))=3),"中","低")))</f>
        <v/>
      </c>
      <c r="X268" s="15" t="str">
        <f aca="false">IF(L268="中位60%",IF(W268="高",3,IF(W268="中",2,IF(W268="低",1,0)))+IF(M268="◎",1,0)+IF(N268="◎",1,0)+IF(O268="○",1,0)+IF(P268="○",1,0),"")</f>
        <v/>
      </c>
      <c r="Y268" s="20"/>
      <c r="Z268" s="18"/>
      <c r="AA268" s="20"/>
      <c r="AB268" s="20"/>
    </row>
    <row r="269" customFormat="false" ht="15" hidden="false" customHeight="false" outlineLevel="0" collapsed="false">
      <c r="A269" s="13" t="s">
        <v>620</v>
      </c>
      <c r="B269" s="14" t="s">
        <v>621</v>
      </c>
      <c r="C269" s="15" t="s">
        <v>406</v>
      </c>
      <c r="D269" s="15" t="n">
        <v>12</v>
      </c>
      <c r="E269" s="14"/>
      <c r="F269" s="15" t="s">
        <v>80</v>
      </c>
      <c r="G269" s="14"/>
      <c r="H269" s="17" t="n">
        <v>1</v>
      </c>
      <c r="I269" s="18"/>
      <c r="J269" s="15" t="n">
        <f aca="false">IF(AND(H269=1,N(I269)&gt;0),1,0)</f>
        <v>0</v>
      </c>
      <c r="K269" s="15" t="str">
        <f aca="false">IF(J269=1,SUMPRODUCT(($J$5:$J$312=1)*(N($I$5:$I$312)&gt;N(I269)))+1,"")</f>
        <v/>
      </c>
      <c r="L269" s="15" t="str">
        <f aca="false">IF(J269&lt;&gt;1,"",IF(K269&lt;=ROUND(SUM($J$5:$J$312)*0.2,0),"上位20%",IF(K269&lt;=ROUND(SUM($J$5:$J$312)*0.8,0),"中位60%","下位20%")))</f>
        <v/>
      </c>
      <c r="M269" s="15" t="str">
        <f aca="false">IF(F269="あり","◎","")</f>
        <v/>
      </c>
      <c r="N269" s="15" t="str">
        <f aca="false">IF(OR(LEFT(G269,1)="A",LEFT(G269,1)="B"),"◎","")</f>
        <v/>
      </c>
      <c r="O269" s="19"/>
      <c r="P269" s="19"/>
      <c r="Q269" s="19"/>
      <c r="R269" s="19"/>
      <c r="S269" s="19"/>
      <c r="T269" s="19"/>
      <c r="U269" s="19"/>
      <c r="V269" s="19"/>
      <c r="W269" s="15" t="str">
        <f aca="false">IF((N(Q269)+N(R269)+N(S269)+N(T269)+N(U269)+N(V269))=0,"",IF(AND((N(Q269)+N(R269)+N(T269))&gt;=2,(N(Q269)+N(R269)+N(S269)+N(T269)+N(U269)+N(V269))&gt;=4),"高",IF(AND((N(Q269)+N(R269)+N(T269))&gt;=1,(N(Q269)+N(R269)+N(S269)+N(T269)+N(U269)+N(V269))=3),"中","低")))</f>
        <v/>
      </c>
      <c r="X269" s="15" t="str">
        <f aca="false">IF(L269="中位60%",IF(W269="高",3,IF(W269="中",2,IF(W269="低",1,0)))+IF(M269="◎",1,0)+IF(N269="◎",1,0)+IF(O269="○",1,0)+IF(P269="○",1,0),"")</f>
        <v/>
      </c>
      <c r="Y269" s="20"/>
      <c r="Z269" s="18"/>
      <c r="AA269" s="20"/>
      <c r="AB269" s="20"/>
    </row>
    <row r="270" customFormat="false" ht="15" hidden="false" customHeight="false" outlineLevel="0" collapsed="false">
      <c r="A270" s="13" t="s">
        <v>622</v>
      </c>
      <c r="B270" s="14" t="s">
        <v>623</v>
      </c>
      <c r="C270" s="15" t="s">
        <v>406</v>
      </c>
      <c r="D270" s="15" t="n">
        <v>12</v>
      </c>
      <c r="E270" s="14"/>
      <c r="F270" s="15" t="s">
        <v>80</v>
      </c>
      <c r="G270" s="14"/>
      <c r="H270" s="17" t="n">
        <v>1</v>
      </c>
      <c r="I270" s="18"/>
      <c r="J270" s="15" t="n">
        <f aca="false">IF(AND(H270=1,N(I270)&gt;0),1,0)</f>
        <v>0</v>
      </c>
      <c r="K270" s="15" t="str">
        <f aca="false">IF(J270=1,SUMPRODUCT(($J$5:$J$312=1)*(N($I$5:$I$312)&gt;N(I270)))+1,"")</f>
        <v/>
      </c>
      <c r="L270" s="15" t="str">
        <f aca="false">IF(J270&lt;&gt;1,"",IF(K270&lt;=ROUND(SUM($J$5:$J$312)*0.2,0),"上位20%",IF(K270&lt;=ROUND(SUM($J$5:$J$312)*0.8,0),"中位60%","下位20%")))</f>
        <v/>
      </c>
      <c r="M270" s="15" t="str">
        <f aca="false">IF(F270="あり","◎","")</f>
        <v/>
      </c>
      <c r="N270" s="15" t="str">
        <f aca="false">IF(OR(LEFT(G270,1)="A",LEFT(G270,1)="B"),"◎","")</f>
        <v/>
      </c>
      <c r="O270" s="19"/>
      <c r="P270" s="19"/>
      <c r="Q270" s="19"/>
      <c r="R270" s="19"/>
      <c r="S270" s="19"/>
      <c r="T270" s="19"/>
      <c r="U270" s="19"/>
      <c r="V270" s="19"/>
      <c r="W270" s="15" t="str">
        <f aca="false">IF((N(Q270)+N(R270)+N(S270)+N(T270)+N(U270)+N(V270))=0,"",IF(AND((N(Q270)+N(R270)+N(T270))&gt;=2,(N(Q270)+N(R270)+N(S270)+N(T270)+N(U270)+N(V270))&gt;=4),"高",IF(AND((N(Q270)+N(R270)+N(T270))&gt;=1,(N(Q270)+N(R270)+N(S270)+N(T270)+N(U270)+N(V270))=3),"中","低")))</f>
        <v/>
      </c>
      <c r="X270" s="15" t="str">
        <f aca="false">IF(L270="中位60%",IF(W270="高",3,IF(W270="中",2,IF(W270="低",1,0)))+IF(M270="◎",1,0)+IF(N270="◎",1,0)+IF(O270="○",1,0)+IF(P270="○",1,0),"")</f>
        <v/>
      </c>
      <c r="Y270" s="20"/>
      <c r="Z270" s="18"/>
      <c r="AA270" s="20"/>
      <c r="AB270" s="20"/>
    </row>
    <row r="271" customFormat="false" ht="15" hidden="false" customHeight="false" outlineLevel="0" collapsed="false">
      <c r="A271" s="13" t="s">
        <v>624</v>
      </c>
      <c r="B271" s="14" t="s">
        <v>625</v>
      </c>
      <c r="C271" s="15" t="s">
        <v>406</v>
      </c>
      <c r="D271" s="15" t="n">
        <v>12</v>
      </c>
      <c r="E271" s="14" t="s">
        <v>117</v>
      </c>
      <c r="F271" s="15" t="s">
        <v>63</v>
      </c>
      <c r="G271" s="16" t="s">
        <v>88</v>
      </c>
      <c r="H271" s="17" t="n">
        <v>1</v>
      </c>
      <c r="I271" s="18"/>
      <c r="J271" s="15" t="n">
        <f aca="false">IF(AND(H271=1,N(I271)&gt;0),1,0)</f>
        <v>0</v>
      </c>
      <c r="K271" s="15" t="str">
        <f aca="false">IF(J271=1,SUMPRODUCT(($J$5:$J$312=1)*(N($I$5:$I$312)&gt;N(I271)))+1,"")</f>
        <v/>
      </c>
      <c r="L271" s="15" t="str">
        <f aca="false">IF(J271&lt;&gt;1,"",IF(K271&lt;=ROUND(SUM($J$5:$J$312)*0.2,0),"上位20%",IF(K271&lt;=ROUND(SUM($J$5:$J$312)*0.8,0),"中位60%","下位20%")))</f>
        <v/>
      </c>
      <c r="M271" s="15" t="str">
        <f aca="false">IF(F271="あり","◎","")</f>
        <v>◎</v>
      </c>
      <c r="N271" s="15" t="str">
        <f aca="false">IF(OR(LEFT(G271,1)="A",LEFT(G271,1)="B"),"◎","")</f>
        <v/>
      </c>
      <c r="O271" s="19"/>
      <c r="P271" s="19"/>
      <c r="Q271" s="19"/>
      <c r="R271" s="19"/>
      <c r="S271" s="19"/>
      <c r="T271" s="19"/>
      <c r="U271" s="19"/>
      <c r="V271" s="19"/>
      <c r="W271" s="15" t="str">
        <f aca="false">IF((N(Q271)+N(R271)+N(S271)+N(T271)+N(U271)+N(V271))=0,"",IF(AND((N(Q271)+N(R271)+N(T271))&gt;=2,(N(Q271)+N(R271)+N(S271)+N(T271)+N(U271)+N(V271))&gt;=4),"高",IF(AND((N(Q271)+N(R271)+N(T271))&gt;=1,(N(Q271)+N(R271)+N(S271)+N(T271)+N(U271)+N(V271))=3),"中","低")))</f>
        <v/>
      </c>
      <c r="X271" s="15" t="str">
        <f aca="false">IF(L271="中位60%",IF(W271="高",3,IF(W271="中",2,IF(W271="低",1,0)))+IF(M271="◎",1,0)+IF(N271="◎",1,0)+IF(O271="○",1,0)+IF(P271="○",1,0),"")</f>
        <v/>
      </c>
      <c r="Y271" s="20"/>
      <c r="Z271" s="18"/>
      <c r="AA271" s="20"/>
      <c r="AB271" s="20"/>
    </row>
    <row r="272" customFormat="false" ht="15" hidden="false" customHeight="false" outlineLevel="0" collapsed="false">
      <c r="A272" s="13" t="s">
        <v>626</v>
      </c>
      <c r="B272" s="14" t="s">
        <v>627</v>
      </c>
      <c r="C272" s="15" t="s">
        <v>406</v>
      </c>
      <c r="D272" s="15" t="n">
        <v>12</v>
      </c>
      <c r="E272" s="14" t="s">
        <v>62</v>
      </c>
      <c r="F272" s="15" t="s">
        <v>63</v>
      </c>
      <c r="G272" s="14"/>
      <c r="H272" s="17" t="n">
        <v>1</v>
      </c>
      <c r="I272" s="18"/>
      <c r="J272" s="15" t="n">
        <f aca="false">IF(AND(H272=1,N(I272)&gt;0),1,0)</f>
        <v>0</v>
      </c>
      <c r="K272" s="15" t="str">
        <f aca="false">IF(J272=1,SUMPRODUCT(($J$5:$J$312=1)*(N($I$5:$I$312)&gt;N(I272)))+1,"")</f>
        <v/>
      </c>
      <c r="L272" s="15" t="str">
        <f aca="false">IF(J272&lt;&gt;1,"",IF(K272&lt;=ROUND(SUM($J$5:$J$312)*0.2,0),"上位20%",IF(K272&lt;=ROUND(SUM($J$5:$J$312)*0.8,0),"中位60%","下位20%")))</f>
        <v/>
      </c>
      <c r="M272" s="15" t="str">
        <f aca="false">IF(F272="あり","◎","")</f>
        <v>◎</v>
      </c>
      <c r="N272" s="15" t="str">
        <f aca="false">IF(OR(LEFT(G272,1)="A",LEFT(G272,1)="B"),"◎","")</f>
        <v/>
      </c>
      <c r="O272" s="19"/>
      <c r="P272" s="19"/>
      <c r="Q272" s="19"/>
      <c r="R272" s="19"/>
      <c r="S272" s="19"/>
      <c r="T272" s="19"/>
      <c r="U272" s="19"/>
      <c r="V272" s="19"/>
      <c r="W272" s="15" t="str">
        <f aca="false">IF((N(Q272)+N(R272)+N(S272)+N(T272)+N(U272)+N(V272))=0,"",IF(AND((N(Q272)+N(R272)+N(T272))&gt;=2,(N(Q272)+N(R272)+N(S272)+N(T272)+N(U272)+N(V272))&gt;=4),"高",IF(AND((N(Q272)+N(R272)+N(T272))&gt;=1,(N(Q272)+N(R272)+N(S272)+N(T272)+N(U272)+N(V272))=3),"中","低")))</f>
        <v/>
      </c>
      <c r="X272" s="15" t="str">
        <f aca="false">IF(L272="中位60%",IF(W272="高",3,IF(W272="中",2,IF(W272="低",1,0)))+IF(M272="◎",1,0)+IF(N272="◎",1,0)+IF(O272="○",1,0)+IF(P272="○",1,0),"")</f>
        <v/>
      </c>
      <c r="Y272" s="20"/>
      <c r="Z272" s="18"/>
      <c r="AA272" s="20"/>
      <c r="AB272" s="20"/>
    </row>
    <row r="273" customFormat="false" ht="15" hidden="false" customHeight="false" outlineLevel="0" collapsed="false">
      <c r="A273" s="13" t="s">
        <v>628</v>
      </c>
      <c r="B273" s="14" t="s">
        <v>629</v>
      </c>
      <c r="C273" s="15" t="s">
        <v>406</v>
      </c>
      <c r="D273" s="15" t="n">
        <v>12</v>
      </c>
      <c r="E273" s="14" t="s">
        <v>530</v>
      </c>
      <c r="F273" s="15" t="s">
        <v>63</v>
      </c>
      <c r="G273" s="14"/>
      <c r="H273" s="17" t="n">
        <v>1</v>
      </c>
      <c r="I273" s="18"/>
      <c r="J273" s="15" t="n">
        <f aca="false">IF(AND(H273=1,N(I273)&gt;0),1,0)</f>
        <v>0</v>
      </c>
      <c r="K273" s="15" t="str">
        <f aca="false">IF(J273=1,SUMPRODUCT(($J$5:$J$312=1)*(N($I$5:$I$312)&gt;N(I273)))+1,"")</f>
        <v/>
      </c>
      <c r="L273" s="15" t="str">
        <f aca="false">IF(J273&lt;&gt;1,"",IF(K273&lt;=ROUND(SUM($J$5:$J$312)*0.2,0),"上位20%",IF(K273&lt;=ROUND(SUM($J$5:$J$312)*0.8,0),"中位60%","下位20%")))</f>
        <v/>
      </c>
      <c r="M273" s="15" t="str">
        <f aca="false">IF(F273="あり","◎","")</f>
        <v>◎</v>
      </c>
      <c r="N273" s="15" t="str">
        <f aca="false">IF(OR(LEFT(G273,1)="A",LEFT(G273,1)="B"),"◎","")</f>
        <v/>
      </c>
      <c r="O273" s="19"/>
      <c r="P273" s="19"/>
      <c r="Q273" s="19"/>
      <c r="R273" s="19"/>
      <c r="S273" s="19"/>
      <c r="T273" s="19"/>
      <c r="U273" s="19"/>
      <c r="V273" s="19"/>
      <c r="W273" s="15" t="str">
        <f aca="false">IF((N(Q273)+N(R273)+N(S273)+N(T273)+N(U273)+N(V273))=0,"",IF(AND((N(Q273)+N(R273)+N(T273))&gt;=2,(N(Q273)+N(R273)+N(S273)+N(T273)+N(U273)+N(V273))&gt;=4),"高",IF(AND((N(Q273)+N(R273)+N(T273))&gt;=1,(N(Q273)+N(R273)+N(S273)+N(T273)+N(U273)+N(V273))=3),"中","低")))</f>
        <v/>
      </c>
      <c r="X273" s="15" t="str">
        <f aca="false">IF(L273="中位60%",IF(W273="高",3,IF(W273="中",2,IF(W273="低",1,0)))+IF(M273="◎",1,0)+IF(N273="◎",1,0)+IF(O273="○",1,0)+IF(P273="○",1,0),"")</f>
        <v/>
      </c>
      <c r="Y273" s="20"/>
      <c r="Z273" s="18"/>
      <c r="AA273" s="20"/>
      <c r="AB273" s="20"/>
    </row>
    <row r="274" customFormat="false" ht="15" hidden="false" customHeight="false" outlineLevel="0" collapsed="false">
      <c r="A274" s="13" t="s">
        <v>630</v>
      </c>
      <c r="B274" s="14" t="s">
        <v>631</v>
      </c>
      <c r="C274" s="15" t="s">
        <v>406</v>
      </c>
      <c r="D274" s="15" t="n">
        <v>12</v>
      </c>
      <c r="E274" s="14"/>
      <c r="F274" s="15" t="s">
        <v>80</v>
      </c>
      <c r="G274" s="14"/>
      <c r="H274" s="17" t="n">
        <v>1</v>
      </c>
      <c r="I274" s="18"/>
      <c r="J274" s="15" t="n">
        <f aca="false">IF(AND(H274=1,N(I274)&gt;0),1,0)</f>
        <v>0</v>
      </c>
      <c r="K274" s="15" t="str">
        <f aca="false">IF(J274=1,SUMPRODUCT(($J$5:$J$312=1)*(N($I$5:$I$312)&gt;N(I274)))+1,"")</f>
        <v/>
      </c>
      <c r="L274" s="15" t="str">
        <f aca="false">IF(J274&lt;&gt;1,"",IF(K274&lt;=ROUND(SUM($J$5:$J$312)*0.2,0),"上位20%",IF(K274&lt;=ROUND(SUM($J$5:$J$312)*0.8,0),"中位60%","下位20%")))</f>
        <v/>
      </c>
      <c r="M274" s="15" t="str">
        <f aca="false">IF(F274="あり","◎","")</f>
        <v/>
      </c>
      <c r="N274" s="15" t="str">
        <f aca="false">IF(OR(LEFT(G274,1)="A",LEFT(G274,1)="B"),"◎","")</f>
        <v/>
      </c>
      <c r="O274" s="19"/>
      <c r="P274" s="19"/>
      <c r="Q274" s="19"/>
      <c r="R274" s="19"/>
      <c r="S274" s="19"/>
      <c r="T274" s="19"/>
      <c r="U274" s="19"/>
      <c r="V274" s="19"/>
      <c r="W274" s="15" t="str">
        <f aca="false">IF((N(Q274)+N(R274)+N(S274)+N(T274)+N(U274)+N(V274))=0,"",IF(AND((N(Q274)+N(R274)+N(T274))&gt;=2,(N(Q274)+N(R274)+N(S274)+N(T274)+N(U274)+N(V274))&gt;=4),"高",IF(AND((N(Q274)+N(R274)+N(T274))&gt;=1,(N(Q274)+N(R274)+N(S274)+N(T274)+N(U274)+N(V274))=3),"中","低")))</f>
        <v/>
      </c>
      <c r="X274" s="15" t="str">
        <f aca="false">IF(L274="中位60%",IF(W274="高",3,IF(W274="中",2,IF(W274="低",1,0)))+IF(M274="◎",1,0)+IF(N274="◎",1,0)+IF(O274="○",1,0)+IF(P274="○",1,0),"")</f>
        <v/>
      </c>
      <c r="Y274" s="20"/>
      <c r="Z274" s="18"/>
      <c r="AA274" s="20"/>
      <c r="AB274" s="20"/>
    </row>
    <row r="275" customFormat="false" ht="15" hidden="false" customHeight="false" outlineLevel="0" collapsed="false">
      <c r="A275" s="13" t="s">
        <v>632</v>
      </c>
      <c r="B275" s="14" t="s">
        <v>633</v>
      </c>
      <c r="C275" s="15" t="s">
        <v>406</v>
      </c>
      <c r="D275" s="15" t="n">
        <v>12</v>
      </c>
      <c r="E275" s="14"/>
      <c r="F275" s="15" t="s">
        <v>80</v>
      </c>
      <c r="G275" s="14"/>
      <c r="H275" s="17" t="n">
        <v>1</v>
      </c>
      <c r="I275" s="18"/>
      <c r="J275" s="15" t="n">
        <f aca="false">IF(AND(H275=1,N(I275)&gt;0),1,0)</f>
        <v>0</v>
      </c>
      <c r="K275" s="15" t="str">
        <f aca="false">IF(J275=1,SUMPRODUCT(($J$5:$J$312=1)*(N($I$5:$I$312)&gt;N(I275)))+1,"")</f>
        <v/>
      </c>
      <c r="L275" s="15" t="str">
        <f aca="false">IF(J275&lt;&gt;1,"",IF(K275&lt;=ROUND(SUM($J$5:$J$312)*0.2,0),"上位20%",IF(K275&lt;=ROUND(SUM($J$5:$J$312)*0.8,0),"中位60%","下位20%")))</f>
        <v/>
      </c>
      <c r="M275" s="15" t="str">
        <f aca="false">IF(F275="あり","◎","")</f>
        <v/>
      </c>
      <c r="N275" s="15" t="str">
        <f aca="false">IF(OR(LEFT(G275,1)="A",LEFT(G275,1)="B"),"◎","")</f>
        <v/>
      </c>
      <c r="O275" s="19"/>
      <c r="P275" s="19"/>
      <c r="Q275" s="19"/>
      <c r="R275" s="19"/>
      <c r="S275" s="19"/>
      <c r="T275" s="19"/>
      <c r="U275" s="19"/>
      <c r="V275" s="19"/>
      <c r="W275" s="15" t="str">
        <f aca="false">IF((N(Q275)+N(R275)+N(S275)+N(T275)+N(U275)+N(V275))=0,"",IF(AND((N(Q275)+N(R275)+N(T275))&gt;=2,(N(Q275)+N(R275)+N(S275)+N(T275)+N(U275)+N(V275))&gt;=4),"高",IF(AND((N(Q275)+N(R275)+N(T275))&gt;=1,(N(Q275)+N(R275)+N(S275)+N(T275)+N(U275)+N(V275))=3),"中","低")))</f>
        <v/>
      </c>
      <c r="X275" s="15" t="str">
        <f aca="false">IF(L275="中位60%",IF(W275="高",3,IF(W275="中",2,IF(W275="低",1,0)))+IF(M275="◎",1,0)+IF(N275="◎",1,0)+IF(O275="○",1,0)+IF(P275="○",1,0),"")</f>
        <v/>
      </c>
      <c r="Y275" s="20"/>
      <c r="Z275" s="18"/>
      <c r="AA275" s="20"/>
      <c r="AB275" s="20"/>
    </row>
    <row r="276" customFormat="false" ht="15" hidden="false" customHeight="false" outlineLevel="0" collapsed="false">
      <c r="A276" s="13" t="s">
        <v>634</v>
      </c>
      <c r="B276" s="14" t="s">
        <v>635</v>
      </c>
      <c r="C276" s="15" t="s">
        <v>406</v>
      </c>
      <c r="D276" s="15" t="n">
        <v>12</v>
      </c>
      <c r="E276" s="14"/>
      <c r="F276" s="15" t="s">
        <v>80</v>
      </c>
      <c r="G276" s="14"/>
      <c r="H276" s="17" t="n">
        <v>1</v>
      </c>
      <c r="I276" s="18"/>
      <c r="J276" s="15" t="n">
        <f aca="false">IF(AND(H276=1,N(I276)&gt;0),1,0)</f>
        <v>0</v>
      </c>
      <c r="K276" s="15" t="str">
        <f aca="false">IF(J276=1,SUMPRODUCT(($J$5:$J$312=1)*(N($I$5:$I$312)&gt;N(I276)))+1,"")</f>
        <v/>
      </c>
      <c r="L276" s="15" t="str">
        <f aca="false">IF(J276&lt;&gt;1,"",IF(K276&lt;=ROUND(SUM($J$5:$J$312)*0.2,0),"上位20%",IF(K276&lt;=ROUND(SUM($J$5:$J$312)*0.8,0),"中位60%","下位20%")))</f>
        <v/>
      </c>
      <c r="M276" s="15" t="str">
        <f aca="false">IF(F276="あり","◎","")</f>
        <v/>
      </c>
      <c r="N276" s="15" t="str">
        <f aca="false">IF(OR(LEFT(G276,1)="A",LEFT(G276,1)="B"),"◎","")</f>
        <v/>
      </c>
      <c r="O276" s="19"/>
      <c r="P276" s="19"/>
      <c r="Q276" s="19"/>
      <c r="R276" s="19"/>
      <c r="S276" s="19"/>
      <c r="T276" s="19"/>
      <c r="U276" s="19"/>
      <c r="V276" s="19"/>
      <c r="W276" s="15" t="str">
        <f aca="false">IF((N(Q276)+N(R276)+N(S276)+N(T276)+N(U276)+N(V276))=0,"",IF(AND((N(Q276)+N(R276)+N(T276))&gt;=2,(N(Q276)+N(R276)+N(S276)+N(T276)+N(U276)+N(V276))&gt;=4),"高",IF(AND((N(Q276)+N(R276)+N(T276))&gt;=1,(N(Q276)+N(R276)+N(S276)+N(T276)+N(U276)+N(V276))=3),"中","低")))</f>
        <v/>
      </c>
      <c r="X276" s="15" t="str">
        <f aca="false">IF(L276="中位60%",IF(W276="高",3,IF(W276="中",2,IF(W276="低",1,0)))+IF(M276="◎",1,0)+IF(N276="◎",1,0)+IF(O276="○",1,0)+IF(P276="○",1,0),"")</f>
        <v/>
      </c>
      <c r="Y276" s="20"/>
      <c r="Z276" s="18"/>
      <c r="AA276" s="20"/>
      <c r="AB276" s="20"/>
    </row>
    <row r="277" customFormat="false" ht="15" hidden="false" customHeight="false" outlineLevel="0" collapsed="false">
      <c r="A277" s="13" t="s">
        <v>636</v>
      </c>
      <c r="B277" s="14" t="s">
        <v>637</v>
      </c>
      <c r="C277" s="15" t="s">
        <v>406</v>
      </c>
      <c r="D277" s="15" t="n">
        <v>12</v>
      </c>
      <c r="E277" s="14"/>
      <c r="F277" s="15" t="s">
        <v>80</v>
      </c>
      <c r="G277" s="14"/>
      <c r="H277" s="17" t="n">
        <v>1</v>
      </c>
      <c r="I277" s="18"/>
      <c r="J277" s="15" t="n">
        <f aca="false">IF(AND(H277=1,N(I277)&gt;0),1,0)</f>
        <v>0</v>
      </c>
      <c r="K277" s="15" t="str">
        <f aca="false">IF(J277=1,SUMPRODUCT(($J$5:$J$312=1)*(N($I$5:$I$312)&gt;N(I277)))+1,"")</f>
        <v/>
      </c>
      <c r="L277" s="15" t="str">
        <f aca="false">IF(J277&lt;&gt;1,"",IF(K277&lt;=ROUND(SUM($J$5:$J$312)*0.2,0),"上位20%",IF(K277&lt;=ROUND(SUM($J$5:$J$312)*0.8,0),"中位60%","下位20%")))</f>
        <v/>
      </c>
      <c r="M277" s="15" t="str">
        <f aca="false">IF(F277="あり","◎","")</f>
        <v/>
      </c>
      <c r="N277" s="15" t="str">
        <f aca="false">IF(OR(LEFT(G277,1)="A",LEFT(G277,1)="B"),"◎","")</f>
        <v/>
      </c>
      <c r="O277" s="19"/>
      <c r="P277" s="19"/>
      <c r="Q277" s="19"/>
      <c r="R277" s="19"/>
      <c r="S277" s="19"/>
      <c r="T277" s="19"/>
      <c r="U277" s="19"/>
      <c r="V277" s="19"/>
      <c r="W277" s="15" t="str">
        <f aca="false">IF((N(Q277)+N(R277)+N(S277)+N(T277)+N(U277)+N(V277))=0,"",IF(AND((N(Q277)+N(R277)+N(T277))&gt;=2,(N(Q277)+N(R277)+N(S277)+N(T277)+N(U277)+N(V277))&gt;=4),"高",IF(AND((N(Q277)+N(R277)+N(T277))&gt;=1,(N(Q277)+N(R277)+N(S277)+N(T277)+N(U277)+N(V277))=3),"中","低")))</f>
        <v/>
      </c>
      <c r="X277" s="15" t="str">
        <f aca="false">IF(L277="中位60%",IF(W277="高",3,IF(W277="中",2,IF(W277="低",1,0)))+IF(M277="◎",1,0)+IF(N277="◎",1,0)+IF(O277="○",1,0)+IF(P277="○",1,0),"")</f>
        <v/>
      </c>
      <c r="Y277" s="20"/>
      <c r="Z277" s="18"/>
      <c r="AA277" s="20"/>
      <c r="AB277" s="20"/>
    </row>
    <row r="278" customFormat="false" ht="15" hidden="false" customHeight="false" outlineLevel="0" collapsed="false">
      <c r="A278" s="13" t="s">
        <v>638</v>
      </c>
      <c r="B278" s="14" t="s">
        <v>639</v>
      </c>
      <c r="C278" s="15" t="s">
        <v>406</v>
      </c>
      <c r="D278" s="15" t="n">
        <v>12</v>
      </c>
      <c r="E278" s="14" t="s">
        <v>101</v>
      </c>
      <c r="F278" s="15" t="s">
        <v>80</v>
      </c>
      <c r="G278" s="14"/>
      <c r="H278" s="17" t="n">
        <v>1</v>
      </c>
      <c r="I278" s="18"/>
      <c r="J278" s="15" t="n">
        <f aca="false">IF(AND(H278=1,N(I278)&gt;0),1,0)</f>
        <v>0</v>
      </c>
      <c r="K278" s="15" t="str">
        <f aca="false">IF(J278=1,SUMPRODUCT(($J$5:$J$312=1)*(N($I$5:$I$312)&gt;N(I278)))+1,"")</f>
        <v/>
      </c>
      <c r="L278" s="15" t="str">
        <f aca="false">IF(J278&lt;&gt;1,"",IF(K278&lt;=ROUND(SUM($J$5:$J$312)*0.2,0),"上位20%",IF(K278&lt;=ROUND(SUM($J$5:$J$312)*0.8,0),"中位60%","下位20%")))</f>
        <v/>
      </c>
      <c r="M278" s="15" t="str">
        <f aca="false">IF(F278="あり","◎","")</f>
        <v/>
      </c>
      <c r="N278" s="15" t="str">
        <f aca="false">IF(OR(LEFT(G278,1)="A",LEFT(G278,1)="B"),"◎","")</f>
        <v/>
      </c>
      <c r="O278" s="19"/>
      <c r="P278" s="19"/>
      <c r="Q278" s="19"/>
      <c r="R278" s="19"/>
      <c r="S278" s="19"/>
      <c r="T278" s="19"/>
      <c r="U278" s="19"/>
      <c r="V278" s="19"/>
      <c r="W278" s="15" t="str">
        <f aca="false">IF((N(Q278)+N(R278)+N(S278)+N(T278)+N(U278)+N(V278))=0,"",IF(AND((N(Q278)+N(R278)+N(T278))&gt;=2,(N(Q278)+N(R278)+N(S278)+N(T278)+N(U278)+N(V278))&gt;=4),"高",IF(AND((N(Q278)+N(R278)+N(T278))&gt;=1,(N(Q278)+N(R278)+N(S278)+N(T278)+N(U278)+N(V278))=3),"中","低")))</f>
        <v/>
      </c>
      <c r="X278" s="15" t="str">
        <f aca="false">IF(L278="中位60%",IF(W278="高",3,IF(W278="中",2,IF(W278="低",1,0)))+IF(M278="◎",1,0)+IF(N278="◎",1,0)+IF(O278="○",1,0)+IF(P278="○",1,0),"")</f>
        <v/>
      </c>
      <c r="Y278" s="20"/>
      <c r="Z278" s="18"/>
      <c r="AA278" s="20"/>
      <c r="AB278" s="20"/>
    </row>
    <row r="279" customFormat="false" ht="15" hidden="false" customHeight="false" outlineLevel="0" collapsed="false">
      <c r="A279" s="13" t="s">
        <v>640</v>
      </c>
      <c r="B279" s="14" t="s">
        <v>641</v>
      </c>
      <c r="C279" s="15" t="s">
        <v>406</v>
      </c>
      <c r="D279" s="15" t="n">
        <v>12</v>
      </c>
      <c r="E279" s="14" t="s">
        <v>101</v>
      </c>
      <c r="F279" s="15" t="s">
        <v>80</v>
      </c>
      <c r="G279" s="14"/>
      <c r="H279" s="17" t="n">
        <v>1</v>
      </c>
      <c r="I279" s="18"/>
      <c r="J279" s="15" t="n">
        <f aca="false">IF(AND(H279=1,N(I279)&gt;0),1,0)</f>
        <v>0</v>
      </c>
      <c r="K279" s="15" t="str">
        <f aca="false">IF(J279=1,SUMPRODUCT(($J$5:$J$312=1)*(N($I$5:$I$312)&gt;N(I279)))+1,"")</f>
        <v/>
      </c>
      <c r="L279" s="15" t="str">
        <f aca="false">IF(J279&lt;&gt;1,"",IF(K279&lt;=ROUND(SUM($J$5:$J$312)*0.2,0),"上位20%",IF(K279&lt;=ROUND(SUM($J$5:$J$312)*0.8,0),"中位60%","下位20%")))</f>
        <v/>
      </c>
      <c r="M279" s="15" t="str">
        <f aca="false">IF(F279="あり","◎","")</f>
        <v/>
      </c>
      <c r="N279" s="15" t="str">
        <f aca="false">IF(OR(LEFT(G279,1)="A",LEFT(G279,1)="B"),"◎","")</f>
        <v/>
      </c>
      <c r="O279" s="19"/>
      <c r="P279" s="19"/>
      <c r="Q279" s="19"/>
      <c r="R279" s="19"/>
      <c r="S279" s="19"/>
      <c r="T279" s="19"/>
      <c r="U279" s="19"/>
      <c r="V279" s="19"/>
      <c r="W279" s="15" t="str">
        <f aca="false">IF((N(Q279)+N(R279)+N(S279)+N(T279)+N(U279)+N(V279))=0,"",IF(AND((N(Q279)+N(R279)+N(T279))&gt;=2,(N(Q279)+N(R279)+N(S279)+N(T279)+N(U279)+N(V279))&gt;=4),"高",IF(AND((N(Q279)+N(R279)+N(T279))&gt;=1,(N(Q279)+N(R279)+N(S279)+N(T279)+N(U279)+N(V279))=3),"中","低")))</f>
        <v/>
      </c>
      <c r="X279" s="15" t="str">
        <f aca="false">IF(L279="中位60%",IF(W279="高",3,IF(W279="中",2,IF(W279="低",1,0)))+IF(M279="◎",1,0)+IF(N279="◎",1,0)+IF(O279="○",1,0)+IF(P279="○",1,0),"")</f>
        <v/>
      </c>
      <c r="Y279" s="20"/>
      <c r="Z279" s="18"/>
      <c r="AA279" s="20"/>
      <c r="AB279" s="20"/>
    </row>
    <row r="280" customFormat="false" ht="15" hidden="false" customHeight="false" outlineLevel="0" collapsed="false">
      <c r="A280" s="13" t="s">
        <v>642</v>
      </c>
      <c r="B280" s="14" t="s">
        <v>643</v>
      </c>
      <c r="C280" s="15" t="s">
        <v>406</v>
      </c>
      <c r="D280" s="15" t="n">
        <v>12</v>
      </c>
      <c r="E280" s="14" t="s">
        <v>75</v>
      </c>
      <c r="F280" s="15" t="s">
        <v>80</v>
      </c>
      <c r="G280" s="14"/>
      <c r="H280" s="17" t="n">
        <v>1</v>
      </c>
      <c r="I280" s="18"/>
      <c r="J280" s="15" t="n">
        <f aca="false">IF(AND(H280=1,N(I280)&gt;0),1,0)</f>
        <v>0</v>
      </c>
      <c r="K280" s="15" t="str">
        <f aca="false">IF(J280=1,SUMPRODUCT(($J$5:$J$312=1)*(N($I$5:$I$312)&gt;N(I280)))+1,"")</f>
        <v/>
      </c>
      <c r="L280" s="15" t="str">
        <f aca="false">IF(J280&lt;&gt;1,"",IF(K280&lt;=ROUND(SUM($J$5:$J$312)*0.2,0),"上位20%",IF(K280&lt;=ROUND(SUM($J$5:$J$312)*0.8,0),"中位60%","下位20%")))</f>
        <v/>
      </c>
      <c r="M280" s="15" t="str">
        <f aca="false">IF(F280="あり","◎","")</f>
        <v/>
      </c>
      <c r="N280" s="15" t="str">
        <f aca="false">IF(OR(LEFT(G280,1)="A",LEFT(G280,1)="B"),"◎","")</f>
        <v/>
      </c>
      <c r="O280" s="19"/>
      <c r="P280" s="19"/>
      <c r="Q280" s="19"/>
      <c r="R280" s="19"/>
      <c r="S280" s="19"/>
      <c r="T280" s="19"/>
      <c r="U280" s="19"/>
      <c r="V280" s="19"/>
      <c r="W280" s="15" t="str">
        <f aca="false">IF((N(Q280)+N(R280)+N(S280)+N(T280)+N(U280)+N(V280))=0,"",IF(AND((N(Q280)+N(R280)+N(T280))&gt;=2,(N(Q280)+N(R280)+N(S280)+N(T280)+N(U280)+N(V280))&gt;=4),"高",IF(AND((N(Q280)+N(R280)+N(T280))&gt;=1,(N(Q280)+N(R280)+N(S280)+N(T280)+N(U280)+N(V280))=3),"中","低")))</f>
        <v/>
      </c>
      <c r="X280" s="15" t="str">
        <f aca="false">IF(L280="中位60%",IF(W280="高",3,IF(W280="中",2,IF(W280="低",1,0)))+IF(M280="◎",1,0)+IF(N280="◎",1,0)+IF(O280="○",1,0)+IF(P280="○",1,0),"")</f>
        <v/>
      </c>
      <c r="Y280" s="20"/>
      <c r="Z280" s="18"/>
      <c r="AA280" s="20"/>
      <c r="AB280" s="20"/>
    </row>
    <row r="281" customFormat="false" ht="15" hidden="false" customHeight="false" outlineLevel="0" collapsed="false">
      <c r="A281" s="13" t="s">
        <v>644</v>
      </c>
      <c r="B281" s="14" t="s">
        <v>645</v>
      </c>
      <c r="C281" s="15" t="s">
        <v>406</v>
      </c>
      <c r="D281" s="15" t="n">
        <v>12</v>
      </c>
      <c r="E281" s="14" t="s">
        <v>646</v>
      </c>
      <c r="F281" s="15" t="s">
        <v>80</v>
      </c>
      <c r="G281" s="14"/>
      <c r="H281" s="17" t="n">
        <v>1</v>
      </c>
      <c r="I281" s="18"/>
      <c r="J281" s="15" t="n">
        <f aca="false">IF(AND(H281=1,N(I281)&gt;0),1,0)</f>
        <v>0</v>
      </c>
      <c r="K281" s="15" t="str">
        <f aca="false">IF(J281=1,SUMPRODUCT(($J$5:$J$312=1)*(N($I$5:$I$312)&gt;N(I281)))+1,"")</f>
        <v/>
      </c>
      <c r="L281" s="15" t="str">
        <f aca="false">IF(J281&lt;&gt;1,"",IF(K281&lt;=ROUND(SUM($J$5:$J$312)*0.2,0),"上位20%",IF(K281&lt;=ROUND(SUM($J$5:$J$312)*0.8,0),"中位60%","下位20%")))</f>
        <v/>
      </c>
      <c r="M281" s="15" t="str">
        <f aca="false">IF(F281="あり","◎","")</f>
        <v/>
      </c>
      <c r="N281" s="15" t="str">
        <f aca="false">IF(OR(LEFT(G281,1)="A",LEFT(G281,1)="B"),"◎","")</f>
        <v/>
      </c>
      <c r="O281" s="19"/>
      <c r="P281" s="19"/>
      <c r="Q281" s="19"/>
      <c r="R281" s="19"/>
      <c r="S281" s="19"/>
      <c r="T281" s="19"/>
      <c r="U281" s="19"/>
      <c r="V281" s="19"/>
      <c r="W281" s="15" t="str">
        <f aca="false">IF((N(Q281)+N(R281)+N(S281)+N(T281)+N(U281)+N(V281))=0,"",IF(AND((N(Q281)+N(R281)+N(T281))&gt;=2,(N(Q281)+N(R281)+N(S281)+N(T281)+N(U281)+N(V281))&gt;=4),"高",IF(AND((N(Q281)+N(R281)+N(T281))&gt;=1,(N(Q281)+N(R281)+N(S281)+N(T281)+N(U281)+N(V281))=3),"中","低")))</f>
        <v/>
      </c>
      <c r="X281" s="15" t="str">
        <f aca="false">IF(L281="中位60%",IF(W281="高",3,IF(W281="中",2,IF(W281="低",1,0)))+IF(M281="◎",1,0)+IF(N281="◎",1,0)+IF(O281="○",1,0)+IF(P281="○",1,0),"")</f>
        <v/>
      </c>
      <c r="Y281" s="20"/>
      <c r="Z281" s="18"/>
      <c r="AA281" s="20"/>
      <c r="AB281" s="20"/>
    </row>
    <row r="282" customFormat="false" ht="15" hidden="false" customHeight="false" outlineLevel="0" collapsed="false">
      <c r="A282" s="13" t="s">
        <v>647</v>
      </c>
      <c r="B282" s="14" t="s">
        <v>648</v>
      </c>
      <c r="C282" s="15" t="s">
        <v>406</v>
      </c>
      <c r="D282" s="15" t="n">
        <v>12</v>
      </c>
      <c r="E282" s="14" t="s">
        <v>91</v>
      </c>
      <c r="F282" s="15" t="s">
        <v>63</v>
      </c>
      <c r="G282" s="14"/>
      <c r="H282" s="17" t="n">
        <v>1</v>
      </c>
      <c r="I282" s="18"/>
      <c r="J282" s="15" t="n">
        <f aca="false">IF(AND(H282=1,N(I282)&gt;0),1,0)</f>
        <v>0</v>
      </c>
      <c r="K282" s="15" t="str">
        <f aca="false">IF(J282=1,SUMPRODUCT(($J$5:$J$312=1)*(N($I$5:$I$312)&gt;N(I282)))+1,"")</f>
        <v/>
      </c>
      <c r="L282" s="15" t="str">
        <f aca="false">IF(J282&lt;&gt;1,"",IF(K282&lt;=ROUND(SUM($J$5:$J$312)*0.2,0),"上位20%",IF(K282&lt;=ROUND(SUM($J$5:$J$312)*0.8,0),"中位60%","下位20%")))</f>
        <v/>
      </c>
      <c r="M282" s="15" t="str">
        <f aca="false">IF(F282="あり","◎","")</f>
        <v>◎</v>
      </c>
      <c r="N282" s="15" t="str">
        <f aca="false">IF(OR(LEFT(G282,1)="A",LEFT(G282,1)="B"),"◎","")</f>
        <v/>
      </c>
      <c r="O282" s="19"/>
      <c r="P282" s="19"/>
      <c r="Q282" s="19"/>
      <c r="R282" s="19"/>
      <c r="S282" s="19"/>
      <c r="T282" s="19"/>
      <c r="U282" s="19"/>
      <c r="V282" s="19"/>
      <c r="W282" s="15" t="str">
        <f aca="false">IF((N(Q282)+N(R282)+N(S282)+N(T282)+N(U282)+N(V282))=0,"",IF(AND((N(Q282)+N(R282)+N(T282))&gt;=2,(N(Q282)+N(R282)+N(S282)+N(T282)+N(U282)+N(V282))&gt;=4),"高",IF(AND((N(Q282)+N(R282)+N(T282))&gt;=1,(N(Q282)+N(R282)+N(S282)+N(T282)+N(U282)+N(V282))=3),"中","低")))</f>
        <v/>
      </c>
      <c r="X282" s="15" t="str">
        <f aca="false">IF(L282="中位60%",IF(W282="高",3,IF(W282="中",2,IF(W282="低",1,0)))+IF(M282="◎",1,0)+IF(N282="◎",1,0)+IF(O282="○",1,0)+IF(P282="○",1,0),"")</f>
        <v/>
      </c>
      <c r="Y282" s="20"/>
      <c r="Z282" s="18"/>
      <c r="AA282" s="20"/>
      <c r="AB282" s="20"/>
    </row>
    <row r="283" customFormat="false" ht="15" hidden="false" customHeight="false" outlineLevel="0" collapsed="false">
      <c r="A283" s="13" t="s">
        <v>649</v>
      </c>
      <c r="B283" s="14" t="s">
        <v>650</v>
      </c>
      <c r="C283" s="15" t="s">
        <v>406</v>
      </c>
      <c r="D283" s="15" t="n">
        <v>12</v>
      </c>
      <c r="E283" s="14" t="s">
        <v>117</v>
      </c>
      <c r="F283" s="15" t="s">
        <v>80</v>
      </c>
      <c r="G283" s="14"/>
      <c r="H283" s="17" t="n">
        <v>1</v>
      </c>
      <c r="I283" s="18"/>
      <c r="J283" s="15" t="n">
        <f aca="false">IF(AND(H283=1,N(I283)&gt;0),1,0)</f>
        <v>0</v>
      </c>
      <c r="K283" s="15" t="str">
        <f aca="false">IF(J283=1,SUMPRODUCT(($J$5:$J$312=1)*(N($I$5:$I$312)&gt;N(I283)))+1,"")</f>
        <v/>
      </c>
      <c r="L283" s="15" t="str">
        <f aca="false">IF(J283&lt;&gt;1,"",IF(K283&lt;=ROUND(SUM($J$5:$J$312)*0.2,0),"上位20%",IF(K283&lt;=ROUND(SUM($J$5:$J$312)*0.8,0),"中位60%","下位20%")))</f>
        <v/>
      </c>
      <c r="M283" s="15" t="str">
        <f aca="false">IF(F283="あり","◎","")</f>
        <v/>
      </c>
      <c r="N283" s="15" t="str">
        <f aca="false">IF(OR(LEFT(G283,1)="A",LEFT(G283,1)="B"),"◎","")</f>
        <v/>
      </c>
      <c r="O283" s="19"/>
      <c r="P283" s="19"/>
      <c r="Q283" s="19"/>
      <c r="R283" s="19"/>
      <c r="S283" s="19"/>
      <c r="T283" s="19"/>
      <c r="U283" s="19"/>
      <c r="V283" s="19"/>
      <c r="W283" s="15" t="str">
        <f aca="false">IF((N(Q283)+N(R283)+N(S283)+N(T283)+N(U283)+N(V283))=0,"",IF(AND((N(Q283)+N(R283)+N(T283))&gt;=2,(N(Q283)+N(R283)+N(S283)+N(T283)+N(U283)+N(V283))&gt;=4),"高",IF(AND((N(Q283)+N(R283)+N(T283))&gt;=1,(N(Q283)+N(R283)+N(S283)+N(T283)+N(U283)+N(V283))=3),"中","低")))</f>
        <v/>
      </c>
      <c r="X283" s="15" t="str">
        <f aca="false">IF(L283="中位60%",IF(W283="高",3,IF(W283="中",2,IF(W283="低",1,0)))+IF(M283="◎",1,0)+IF(N283="◎",1,0)+IF(O283="○",1,0)+IF(P283="○",1,0),"")</f>
        <v/>
      </c>
      <c r="Y283" s="20"/>
      <c r="Z283" s="18"/>
      <c r="AA283" s="20"/>
      <c r="AB283" s="20"/>
    </row>
    <row r="284" customFormat="false" ht="15" hidden="false" customHeight="false" outlineLevel="0" collapsed="false">
      <c r="A284" s="13" t="s">
        <v>651</v>
      </c>
      <c r="B284" s="14" t="s">
        <v>652</v>
      </c>
      <c r="C284" s="15" t="s">
        <v>406</v>
      </c>
      <c r="D284" s="15" t="n">
        <v>12</v>
      </c>
      <c r="E284" s="14" t="s">
        <v>117</v>
      </c>
      <c r="F284" s="15" t="s">
        <v>80</v>
      </c>
      <c r="G284" s="14"/>
      <c r="H284" s="17" t="n">
        <v>1</v>
      </c>
      <c r="I284" s="18"/>
      <c r="J284" s="15" t="n">
        <f aca="false">IF(AND(H284=1,N(I284)&gt;0),1,0)</f>
        <v>0</v>
      </c>
      <c r="K284" s="15" t="str">
        <f aca="false">IF(J284=1,SUMPRODUCT(($J$5:$J$312=1)*(N($I$5:$I$312)&gt;N(I284)))+1,"")</f>
        <v/>
      </c>
      <c r="L284" s="15" t="str">
        <f aca="false">IF(J284&lt;&gt;1,"",IF(K284&lt;=ROUND(SUM($J$5:$J$312)*0.2,0),"上位20%",IF(K284&lt;=ROUND(SUM($J$5:$J$312)*0.8,0),"中位60%","下位20%")))</f>
        <v/>
      </c>
      <c r="M284" s="15" t="str">
        <f aca="false">IF(F284="あり","◎","")</f>
        <v/>
      </c>
      <c r="N284" s="15" t="str">
        <f aca="false">IF(OR(LEFT(G284,1)="A",LEFT(G284,1)="B"),"◎","")</f>
        <v/>
      </c>
      <c r="O284" s="19"/>
      <c r="P284" s="19"/>
      <c r="Q284" s="19"/>
      <c r="R284" s="19"/>
      <c r="S284" s="19"/>
      <c r="T284" s="19"/>
      <c r="U284" s="19"/>
      <c r="V284" s="19"/>
      <c r="W284" s="15" t="str">
        <f aca="false">IF((N(Q284)+N(R284)+N(S284)+N(T284)+N(U284)+N(V284))=0,"",IF(AND((N(Q284)+N(R284)+N(T284))&gt;=2,(N(Q284)+N(R284)+N(S284)+N(T284)+N(U284)+N(V284))&gt;=4),"高",IF(AND((N(Q284)+N(R284)+N(T284))&gt;=1,(N(Q284)+N(R284)+N(S284)+N(T284)+N(U284)+N(V284))=3),"中","低")))</f>
        <v/>
      </c>
      <c r="X284" s="15" t="str">
        <f aca="false">IF(L284="中位60%",IF(W284="高",3,IF(W284="中",2,IF(W284="低",1,0)))+IF(M284="◎",1,0)+IF(N284="◎",1,0)+IF(O284="○",1,0)+IF(P284="○",1,0),"")</f>
        <v/>
      </c>
      <c r="Y284" s="20"/>
      <c r="Z284" s="18"/>
      <c r="AA284" s="20"/>
      <c r="AB284" s="20"/>
    </row>
    <row r="285" customFormat="false" ht="15" hidden="false" customHeight="false" outlineLevel="0" collapsed="false">
      <c r="A285" s="13" t="s">
        <v>653</v>
      </c>
      <c r="B285" s="14" t="s">
        <v>654</v>
      </c>
      <c r="C285" s="15" t="s">
        <v>406</v>
      </c>
      <c r="D285" s="15" t="n">
        <v>12</v>
      </c>
      <c r="E285" s="14" t="s">
        <v>91</v>
      </c>
      <c r="F285" s="15" t="s">
        <v>80</v>
      </c>
      <c r="G285" s="14"/>
      <c r="H285" s="17" t="n">
        <v>1</v>
      </c>
      <c r="I285" s="18"/>
      <c r="J285" s="15" t="n">
        <f aca="false">IF(AND(H285=1,N(I285)&gt;0),1,0)</f>
        <v>0</v>
      </c>
      <c r="K285" s="15" t="str">
        <f aca="false">IF(J285=1,SUMPRODUCT(($J$5:$J$312=1)*(N($I$5:$I$312)&gt;N(I285)))+1,"")</f>
        <v/>
      </c>
      <c r="L285" s="15" t="str">
        <f aca="false">IF(J285&lt;&gt;1,"",IF(K285&lt;=ROUND(SUM($J$5:$J$312)*0.2,0),"上位20%",IF(K285&lt;=ROUND(SUM($J$5:$J$312)*0.8,0),"中位60%","下位20%")))</f>
        <v/>
      </c>
      <c r="M285" s="15" t="str">
        <f aca="false">IF(F285="あり","◎","")</f>
        <v/>
      </c>
      <c r="N285" s="15" t="str">
        <f aca="false">IF(OR(LEFT(G285,1)="A",LEFT(G285,1)="B"),"◎","")</f>
        <v/>
      </c>
      <c r="O285" s="19"/>
      <c r="P285" s="19"/>
      <c r="Q285" s="19"/>
      <c r="R285" s="19"/>
      <c r="S285" s="19"/>
      <c r="T285" s="19"/>
      <c r="U285" s="19"/>
      <c r="V285" s="19"/>
      <c r="W285" s="15" t="str">
        <f aca="false">IF((N(Q285)+N(R285)+N(S285)+N(T285)+N(U285)+N(V285))=0,"",IF(AND((N(Q285)+N(R285)+N(T285))&gt;=2,(N(Q285)+N(R285)+N(S285)+N(T285)+N(U285)+N(V285))&gt;=4),"高",IF(AND((N(Q285)+N(R285)+N(T285))&gt;=1,(N(Q285)+N(R285)+N(S285)+N(T285)+N(U285)+N(V285))=3),"中","低")))</f>
        <v/>
      </c>
      <c r="X285" s="15" t="str">
        <f aca="false">IF(L285="中位60%",IF(W285="高",3,IF(W285="中",2,IF(W285="低",1,0)))+IF(M285="◎",1,0)+IF(N285="◎",1,0)+IF(O285="○",1,0)+IF(P285="○",1,0),"")</f>
        <v/>
      </c>
      <c r="Y285" s="20"/>
      <c r="Z285" s="18"/>
      <c r="AA285" s="20"/>
      <c r="AB285" s="20"/>
    </row>
    <row r="286" customFormat="false" ht="15" hidden="false" customHeight="false" outlineLevel="0" collapsed="false">
      <c r="A286" s="13" t="s">
        <v>655</v>
      </c>
      <c r="B286" s="14" t="s">
        <v>656</v>
      </c>
      <c r="C286" s="15" t="s">
        <v>406</v>
      </c>
      <c r="D286" s="15" t="n">
        <v>12</v>
      </c>
      <c r="E286" s="14" t="s">
        <v>530</v>
      </c>
      <c r="F286" s="15" t="s">
        <v>80</v>
      </c>
      <c r="G286" s="14"/>
      <c r="H286" s="17" t="n">
        <v>1</v>
      </c>
      <c r="I286" s="18"/>
      <c r="J286" s="15" t="n">
        <f aca="false">IF(AND(H286=1,N(I286)&gt;0),1,0)</f>
        <v>0</v>
      </c>
      <c r="K286" s="15" t="str">
        <f aca="false">IF(J286=1,SUMPRODUCT(($J$5:$J$312=1)*(N($I$5:$I$312)&gt;N(I286)))+1,"")</f>
        <v/>
      </c>
      <c r="L286" s="15" t="str">
        <f aca="false">IF(J286&lt;&gt;1,"",IF(K286&lt;=ROUND(SUM($J$5:$J$312)*0.2,0),"上位20%",IF(K286&lt;=ROUND(SUM($J$5:$J$312)*0.8,0),"中位60%","下位20%")))</f>
        <v/>
      </c>
      <c r="M286" s="15" t="str">
        <f aca="false">IF(F286="あり","◎","")</f>
        <v/>
      </c>
      <c r="N286" s="15" t="str">
        <f aca="false">IF(OR(LEFT(G286,1)="A",LEFT(G286,1)="B"),"◎","")</f>
        <v/>
      </c>
      <c r="O286" s="19"/>
      <c r="P286" s="19"/>
      <c r="Q286" s="19"/>
      <c r="R286" s="19"/>
      <c r="S286" s="19"/>
      <c r="T286" s="19"/>
      <c r="U286" s="19"/>
      <c r="V286" s="19"/>
      <c r="W286" s="15" t="str">
        <f aca="false">IF((N(Q286)+N(R286)+N(S286)+N(T286)+N(U286)+N(V286))=0,"",IF(AND((N(Q286)+N(R286)+N(T286))&gt;=2,(N(Q286)+N(R286)+N(S286)+N(T286)+N(U286)+N(V286))&gt;=4),"高",IF(AND((N(Q286)+N(R286)+N(T286))&gt;=1,(N(Q286)+N(R286)+N(S286)+N(T286)+N(U286)+N(V286))=3),"中","低")))</f>
        <v/>
      </c>
      <c r="X286" s="15" t="str">
        <f aca="false">IF(L286="中位60%",IF(W286="高",3,IF(W286="中",2,IF(W286="低",1,0)))+IF(M286="◎",1,0)+IF(N286="◎",1,0)+IF(O286="○",1,0)+IF(P286="○",1,0),"")</f>
        <v/>
      </c>
      <c r="Y286" s="20"/>
      <c r="Z286" s="18"/>
      <c r="AA286" s="20"/>
      <c r="AB286" s="20"/>
    </row>
    <row r="287" customFormat="false" ht="15" hidden="false" customHeight="false" outlineLevel="0" collapsed="false">
      <c r="A287" s="13" t="s">
        <v>657</v>
      </c>
      <c r="B287" s="14" t="s">
        <v>658</v>
      </c>
      <c r="C287" s="15" t="s">
        <v>406</v>
      </c>
      <c r="D287" s="15" t="n">
        <v>12</v>
      </c>
      <c r="E287" s="14" t="s">
        <v>75</v>
      </c>
      <c r="F287" s="15" t="s">
        <v>80</v>
      </c>
      <c r="G287" s="14"/>
      <c r="H287" s="17" t="n">
        <v>1</v>
      </c>
      <c r="I287" s="18"/>
      <c r="J287" s="15" t="n">
        <f aca="false">IF(AND(H287=1,N(I287)&gt;0),1,0)</f>
        <v>0</v>
      </c>
      <c r="K287" s="15" t="str">
        <f aca="false">IF(J287=1,SUMPRODUCT(($J$5:$J$312=1)*(N($I$5:$I$312)&gt;N(I287)))+1,"")</f>
        <v/>
      </c>
      <c r="L287" s="15" t="str">
        <f aca="false">IF(J287&lt;&gt;1,"",IF(K287&lt;=ROUND(SUM($J$5:$J$312)*0.2,0),"上位20%",IF(K287&lt;=ROUND(SUM($J$5:$J$312)*0.8,0),"中位60%","下位20%")))</f>
        <v/>
      </c>
      <c r="M287" s="15" t="str">
        <f aca="false">IF(F287="あり","◎","")</f>
        <v/>
      </c>
      <c r="N287" s="15" t="str">
        <f aca="false">IF(OR(LEFT(G287,1)="A",LEFT(G287,1)="B"),"◎","")</f>
        <v/>
      </c>
      <c r="O287" s="19"/>
      <c r="P287" s="19"/>
      <c r="Q287" s="19"/>
      <c r="R287" s="19"/>
      <c r="S287" s="19"/>
      <c r="T287" s="19"/>
      <c r="U287" s="19"/>
      <c r="V287" s="19"/>
      <c r="W287" s="15" t="str">
        <f aca="false">IF((N(Q287)+N(R287)+N(S287)+N(T287)+N(U287)+N(V287))=0,"",IF(AND((N(Q287)+N(R287)+N(T287))&gt;=2,(N(Q287)+N(R287)+N(S287)+N(T287)+N(U287)+N(V287))&gt;=4),"高",IF(AND((N(Q287)+N(R287)+N(T287))&gt;=1,(N(Q287)+N(R287)+N(S287)+N(T287)+N(U287)+N(V287))=3),"中","低")))</f>
        <v/>
      </c>
      <c r="X287" s="15" t="str">
        <f aca="false">IF(L287="中位60%",IF(W287="高",3,IF(W287="中",2,IF(W287="低",1,0)))+IF(M287="◎",1,0)+IF(N287="◎",1,0)+IF(O287="○",1,0)+IF(P287="○",1,0),"")</f>
        <v/>
      </c>
      <c r="Y287" s="20"/>
      <c r="Z287" s="18"/>
      <c r="AA287" s="20"/>
      <c r="AB287" s="20"/>
    </row>
    <row r="288" customFormat="false" ht="26.85" hidden="false" customHeight="false" outlineLevel="0" collapsed="false">
      <c r="A288" s="13" t="s">
        <v>659</v>
      </c>
      <c r="B288" s="14" t="s">
        <v>660</v>
      </c>
      <c r="C288" s="15" t="s">
        <v>661</v>
      </c>
      <c r="D288" s="15" t="n">
        <v>12</v>
      </c>
      <c r="E288" s="14" t="s">
        <v>117</v>
      </c>
      <c r="F288" s="15" t="s">
        <v>80</v>
      </c>
      <c r="G288" s="14"/>
      <c r="H288" s="17" t="n">
        <v>0</v>
      </c>
      <c r="I288" s="18"/>
      <c r="J288" s="15" t="n">
        <f aca="false">IF(AND(H288=1,N(I288)&gt;0),1,0)</f>
        <v>0</v>
      </c>
      <c r="K288" s="15" t="str">
        <f aca="false">IF(J288=1,SUMPRODUCT(($J$5:$J$312=1)*(N($I$5:$I$312)&gt;N(I288)))+1,"")</f>
        <v/>
      </c>
      <c r="L288" s="15" t="str">
        <f aca="false">IF(J288&lt;&gt;1,"",IF(K288&lt;=ROUND(SUM($J$5:$J$312)*0.2,0),"上位20%",IF(K288&lt;=ROUND(SUM($J$5:$J$312)*0.8,0),"中位60%","下位20%")))</f>
        <v/>
      </c>
      <c r="M288" s="15" t="str">
        <f aca="false">IF(F288="あり","◎","")</f>
        <v/>
      </c>
      <c r="N288" s="15" t="str">
        <f aca="false">IF(OR(LEFT(G288,1)="A",LEFT(G288,1)="B"),"◎","")</f>
        <v/>
      </c>
      <c r="O288" s="19"/>
      <c r="P288" s="19"/>
      <c r="Q288" s="19"/>
      <c r="R288" s="19"/>
      <c r="S288" s="19"/>
      <c r="T288" s="19"/>
      <c r="U288" s="19"/>
      <c r="V288" s="19"/>
      <c r="W288" s="15" t="str">
        <f aca="false">IF((N(Q288)+N(R288)+N(S288)+N(T288)+N(U288)+N(V288))=0,"",IF(AND((N(Q288)+N(R288)+N(T288))&gt;=2,(N(Q288)+N(R288)+N(S288)+N(T288)+N(U288)+N(V288))&gt;=4),"高",IF(AND((N(Q288)+N(R288)+N(T288))&gt;=1,(N(Q288)+N(R288)+N(S288)+N(T288)+N(U288)+N(V288))=3),"中","低")))</f>
        <v/>
      </c>
      <c r="X288" s="15" t="str">
        <f aca="false">IF(L288="中位60%",IF(W288="高",3,IF(W288="中",2,IF(W288="低",1,0)))+IF(M288="◎",1,0)+IF(N288="◎",1,0)+IF(O288="○",1,0)+IF(P288="○",1,0),"")</f>
        <v/>
      </c>
      <c r="Y288" s="20"/>
      <c r="Z288" s="18"/>
      <c r="AA288" s="20"/>
      <c r="AB288" s="20"/>
    </row>
    <row r="289" customFormat="false" ht="26.85" hidden="false" customHeight="false" outlineLevel="0" collapsed="false">
      <c r="A289" s="13" t="s">
        <v>662</v>
      </c>
      <c r="B289" s="14" t="s">
        <v>663</v>
      </c>
      <c r="C289" s="15" t="s">
        <v>661</v>
      </c>
      <c r="D289" s="15" t="n">
        <v>12</v>
      </c>
      <c r="E289" s="14" t="s">
        <v>79</v>
      </c>
      <c r="F289" s="15" t="s">
        <v>80</v>
      </c>
      <c r="G289" s="14"/>
      <c r="H289" s="17" t="n">
        <v>0</v>
      </c>
      <c r="I289" s="18"/>
      <c r="J289" s="15" t="n">
        <f aca="false">IF(AND(H289=1,N(I289)&gt;0),1,0)</f>
        <v>0</v>
      </c>
      <c r="K289" s="15" t="str">
        <f aca="false">IF(J289=1,SUMPRODUCT(($J$5:$J$312=1)*(N($I$5:$I$312)&gt;N(I289)))+1,"")</f>
        <v/>
      </c>
      <c r="L289" s="15" t="str">
        <f aca="false">IF(J289&lt;&gt;1,"",IF(K289&lt;=ROUND(SUM($J$5:$J$312)*0.2,0),"上位20%",IF(K289&lt;=ROUND(SUM($J$5:$J$312)*0.8,0),"中位60%","下位20%")))</f>
        <v/>
      </c>
      <c r="M289" s="15" t="str">
        <f aca="false">IF(F289="あり","◎","")</f>
        <v/>
      </c>
      <c r="N289" s="15" t="str">
        <f aca="false">IF(OR(LEFT(G289,1)="A",LEFT(G289,1)="B"),"◎","")</f>
        <v/>
      </c>
      <c r="O289" s="19"/>
      <c r="P289" s="19"/>
      <c r="Q289" s="19"/>
      <c r="R289" s="19"/>
      <c r="S289" s="19"/>
      <c r="T289" s="19"/>
      <c r="U289" s="19"/>
      <c r="V289" s="19"/>
      <c r="W289" s="15" t="str">
        <f aca="false">IF((N(Q289)+N(R289)+N(S289)+N(T289)+N(U289)+N(V289))=0,"",IF(AND((N(Q289)+N(R289)+N(T289))&gt;=2,(N(Q289)+N(R289)+N(S289)+N(T289)+N(U289)+N(V289))&gt;=4),"高",IF(AND((N(Q289)+N(R289)+N(T289))&gt;=1,(N(Q289)+N(R289)+N(S289)+N(T289)+N(U289)+N(V289))=3),"中","低")))</f>
        <v/>
      </c>
      <c r="X289" s="15" t="str">
        <f aca="false">IF(L289="中位60%",IF(W289="高",3,IF(W289="中",2,IF(W289="低",1,0)))+IF(M289="◎",1,0)+IF(N289="◎",1,0)+IF(O289="○",1,0)+IF(P289="○",1,0),"")</f>
        <v/>
      </c>
      <c r="Y289" s="20"/>
      <c r="Z289" s="18"/>
      <c r="AA289" s="20"/>
      <c r="AB289" s="20"/>
    </row>
    <row r="290" customFormat="false" ht="26.85" hidden="false" customHeight="false" outlineLevel="0" collapsed="false">
      <c r="A290" s="13" t="s">
        <v>664</v>
      </c>
      <c r="B290" s="14" t="s">
        <v>665</v>
      </c>
      <c r="C290" s="15" t="s">
        <v>661</v>
      </c>
      <c r="D290" s="15" t="n">
        <v>12</v>
      </c>
      <c r="E290" s="14"/>
      <c r="F290" s="15" t="s">
        <v>80</v>
      </c>
      <c r="G290" s="14"/>
      <c r="H290" s="17" t="n">
        <v>0</v>
      </c>
      <c r="I290" s="18"/>
      <c r="J290" s="15" t="n">
        <f aca="false">IF(AND(H290=1,N(I290)&gt;0),1,0)</f>
        <v>0</v>
      </c>
      <c r="K290" s="15" t="str">
        <f aca="false">IF(J290=1,SUMPRODUCT(($J$5:$J$312=1)*(N($I$5:$I$312)&gt;N(I290)))+1,"")</f>
        <v/>
      </c>
      <c r="L290" s="15" t="str">
        <f aca="false">IF(J290&lt;&gt;1,"",IF(K290&lt;=ROUND(SUM($J$5:$J$312)*0.2,0),"上位20%",IF(K290&lt;=ROUND(SUM($J$5:$J$312)*0.8,0),"中位60%","下位20%")))</f>
        <v/>
      </c>
      <c r="M290" s="15" t="str">
        <f aca="false">IF(F290="あり","◎","")</f>
        <v/>
      </c>
      <c r="N290" s="15" t="str">
        <f aca="false">IF(OR(LEFT(G290,1)="A",LEFT(G290,1)="B"),"◎","")</f>
        <v/>
      </c>
      <c r="O290" s="19"/>
      <c r="P290" s="19"/>
      <c r="Q290" s="19"/>
      <c r="R290" s="19"/>
      <c r="S290" s="19"/>
      <c r="T290" s="19"/>
      <c r="U290" s="19"/>
      <c r="V290" s="19"/>
      <c r="W290" s="15" t="str">
        <f aca="false">IF((N(Q290)+N(R290)+N(S290)+N(T290)+N(U290)+N(V290))=0,"",IF(AND((N(Q290)+N(R290)+N(T290))&gt;=2,(N(Q290)+N(R290)+N(S290)+N(T290)+N(U290)+N(V290))&gt;=4),"高",IF(AND((N(Q290)+N(R290)+N(T290))&gt;=1,(N(Q290)+N(R290)+N(S290)+N(T290)+N(U290)+N(V290))=3),"中","低")))</f>
        <v/>
      </c>
      <c r="X290" s="15" t="str">
        <f aca="false">IF(L290="中位60%",IF(W290="高",3,IF(W290="中",2,IF(W290="低",1,0)))+IF(M290="◎",1,0)+IF(N290="◎",1,0)+IF(O290="○",1,0)+IF(P290="○",1,0),"")</f>
        <v/>
      </c>
      <c r="Y290" s="20"/>
      <c r="Z290" s="18"/>
      <c r="AA290" s="20"/>
      <c r="AB290" s="20"/>
    </row>
    <row r="291" customFormat="false" ht="26.85" hidden="false" customHeight="false" outlineLevel="0" collapsed="false">
      <c r="A291" s="13" t="s">
        <v>666</v>
      </c>
      <c r="B291" s="14" t="s">
        <v>667</v>
      </c>
      <c r="C291" s="15" t="s">
        <v>661</v>
      </c>
      <c r="D291" s="15" t="n">
        <v>12</v>
      </c>
      <c r="E291" s="14"/>
      <c r="F291" s="15" t="s">
        <v>80</v>
      </c>
      <c r="G291" s="14"/>
      <c r="H291" s="17" t="n">
        <v>0</v>
      </c>
      <c r="I291" s="18"/>
      <c r="J291" s="15" t="n">
        <f aca="false">IF(AND(H291=1,N(I291)&gt;0),1,0)</f>
        <v>0</v>
      </c>
      <c r="K291" s="15" t="str">
        <f aca="false">IF(J291=1,SUMPRODUCT(($J$5:$J$312=1)*(N($I$5:$I$312)&gt;N(I291)))+1,"")</f>
        <v/>
      </c>
      <c r="L291" s="15" t="str">
        <f aca="false">IF(J291&lt;&gt;1,"",IF(K291&lt;=ROUND(SUM($J$5:$J$312)*0.2,0),"上位20%",IF(K291&lt;=ROUND(SUM($J$5:$J$312)*0.8,0),"中位60%","下位20%")))</f>
        <v/>
      </c>
      <c r="M291" s="15" t="str">
        <f aca="false">IF(F291="あり","◎","")</f>
        <v/>
      </c>
      <c r="N291" s="15" t="str">
        <f aca="false">IF(OR(LEFT(G291,1)="A",LEFT(G291,1)="B"),"◎","")</f>
        <v/>
      </c>
      <c r="O291" s="19"/>
      <c r="P291" s="19"/>
      <c r="Q291" s="19"/>
      <c r="R291" s="19"/>
      <c r="S291" s="19"/>
      <c r="T291" s="19"/>
      <c r="U291" s="19"/>
      <c r="V291" s="19"/>
      <c r="W291" s="15" t="str">
        <f aca="false">IF((N(Q291)+N(R291)+N(S291)+N(T291)+N(U291)+N(V291))=0,"",IF(AND((N(Q291)+N(R291)+N(T291))&gt;=2,(N(Q291)+N(R291)+N(S291)+N(T291)+N(U291)+N(V291))&gt;=4),"高",IF(AND((N(Q291)+N(R291)+N(T291))&gt;=1,(N(Q291)+N(R291)+N(S291)+N(T291)+N(U291)+N(V291))=3),"中","低")))</f>
        <v/>
      </c>
      <c r="X291" s="15" t="str">
        <f aca="false">IF(L291="中位60%",IF(W291="高",3,IF(W291="中",2,IF(W291="低",1,0)))+IF(M291="◎",1,0)+IF(N291="◎",1,0)+IF(O291="○",1,0)+IF(P291="○",1,0),"")</f>
        <v/>
      </c>
      <c r="Y291" s="20"/>
      <c r="Z291" s="18"/>
      <c r="AA291" s="20"/>
      <c r="AB291" s="20"/>
    </row>
    <row r="292" customFormat="false" ht="26.85" hidden="false" customHeight="false" outlineLevel="0" collapsed="false">
      <c r="A292" s="13" t="s">
        <v>668</v>
      </c>
      <c r="B292" s="14" t="s">
        <v>669</v>
      </c>
      <c r="C292" s="15" t="s">
        <v>661</v>
      </c>
      <c r="D292" s="15" t="n">
        <v>12</v>
      </c>
      <c r="E292" s="14"/>
      <c r="F292" s="15" t="s">
        <v>80</v>
      </c>
      <c r="G292" s="14"/>
      <c r="H292" s="17" t="n">
        <v>0</v>
      </c>
      <c r="I292" s="18"/>
      <c r="J292" s="15" t="n">
        <f aca="false">IF(AND(H292=1,N(I292)&gt;0),1,0)</f>
        <v>0</v>
      </c>
      <c r="K292" s="15" t="str">
        <f aca="false">IF(J292=1,SUMPRODUCT(($J$5:$J$312=1)*(N($I$5:$I$312)&gt;N(I292)))+1,"")</f>
        <v/>
      </c>
      <c r="L292" s="15" t="str">
        <f aca="false">IF(J292&lt;&gt;1,"",IF(K292&lt;=ROUND(SUM($J$5:$J$312)*0.2,0),"上位20%",IF(K292&lt;=ROUND(SUM($J$5:$J$312)*0.8,0),"中位60%","下位20%")))</f>
        <v/>
      </c>
      <c r="M292" s="15" t="str">
        <f aca="false">IF(F292="あり","◎","")</f>
        <v/>
      </c>
      <c r="N292" s="15" t="str">
        <f aca="false">IF(OR(LEFT(G292,1)="A",LEFT(G292,1)="B"),"◎","")</f>
        <v/>
      </c>
      <c r="O292" s="19"/>
      <c r="P292" s="19"/>
      <c r="Q292" s="19"/>
      <c r="R292" s="19"/>
      <c r="S292" s="19"/>
      <c r="T292" s="19"/>
      <c r="U292" s="19"/>
      <c r="V292" s="19"/>
      <c r="W292" s="15" t="str">
        <f aca="false">IF((N(Q292)+N(R292)+N(S292)+N(T292)+N(U292)+N(V292))=0,"",IF(AND((N(Q292)+N(R292)+N(T292))&gt;=2,(N(Q292)+N(R292)+N(S292)+N(T292)+N(U292)+N(V292))&gt;=4),"高",IF(AND((N(Q292)+N(R292)+N(T292))&gt;=1,(N(Q292)+N(R292)+N(S292)+N(T292)+N(U292)+N(V292))=3),"中","低")))</f>
        <v/>
      </c>
      <c r="X292" s="15" t="str">
        <f aca="false">IF(L292="中位60%",IF(W292="高",3,IF(W292="中",2,IF(W292="低",1,0)))+IF(M292="◎",1,0)+IF(N292="◎",1,0)+IF(O292="○",1,0)+IF(P292="○",1,0),"")</f>
        <v/>
      </c>
      <c r="Y292" s="20"/>
      <c r="Z292" s="18"/>
      <c r="AA292" s="20"/>
      <c r="AB292" s="20"/>
    </row>
    <row r="293" customFormat="false" ht="26.85" hidden="false" customHeight="false" outlineLevel="0" collapsed="false">
      <c r="A293" s="13" t="s">
        <v>670</v>
      </c>
      <c r="B293" s="14" t="s">
        <v>671</v>
      </c>
      <c r="C293" s="15" t="s">
        <v>661</v>
      </c>
      <c r="D293" s="15" t="n">
        <v>12</v>
      </c>
      <c r="E293" s="14" t="s">
        <v>62</v>
      </c>
      <c r="F293" s="15" t="s">
        <v>80</v>
      </c>
      <c r="G293" s="14"/>
      <c r="H293" s="17" t="n">
        <v>0</v>
      </c>
      <c r="I293" s="18"/>
      <c r="J293" s="15" t="n">
        <f aca="false">IF(AND(H293=1,N(I293)&gt;0),1,0)</f>
        <v>0</v>
      </c>
      <c r="K293" s="15" t="str">
        <f aca="false">IF(J293=1,SUMPRODUCT(($J$5:$J$312=1)*(N($I$5:$I$312)&gt;N(I293)))+1,"")</f>
        <v/>
      </c>
      <c r="L293" s="15" t="str">
        <f aca="false">IF(J293&lt;&gt;1,"",IF(K293&lt;=ROUND(SUM($J$5:$J$312)*0.2,0),"上位20%",IF(K293&lt;=ROUND(SUM($J$5:$J$312)*0.8,0),"中位60%","下位20%")))</f>
        <v/>
      </c>
      <c r="M293" s="15" t="str">
        <f aca="false">IF(F293="あり","◎","")</f>
        <v/>
      </c>
      <c r="N293" s="15" t="str">
        <f aca="false">IF(OR(LEFT(G293,1)="A",LEFT(G293,1)="B"),"◎","")</f>
        <v/>
      </c>
      <c r="O293" s="19"/>
      <c r="P293" s="19"/>
      <c r="Q293" s="19"/>
      <c r="R293" s="19"/>
      <c r="S293" s="19"/>
      <c r="T293" s="19"/>
      <c r="U293" s="19"/>
      <c r="V293" s="19"/>
      <c r="W293" s="15" t="str">
        <f aca="false">IF((N(Q293)+N(R293)+N(S293)+N(T293)+N(U293)+N(V293))=0,"",IF(AND((N(Q293)+N(R293)+N(T293))&gt;=2,(N(Q293)+N(R293)+N(S293)+N(T293)+N(U293)+N(V293))&gt;=4),"高",IF(AND((N(Q293)+N(R293)+N(T293))&gt;=1,(N(Q293)+N(R293)+N(S293)+N(T293)+N(U293)+N(V293))=3),"中","低")))</f>
        <v/>
      </c>
      <c r="X293" s="15" t="str">
        <f aca="false">IF(L293="中位60%",IF(W293="高",3,IF(W293="中",2,IF(W293="低",1,0)))+IF(M293="◎",1,0)+IF(N293="◎",1,0)+IF(O293="○",1,0)+IF(P293="○",1,0),"")</f>
        <v/>
      </c>
      <c r="Y293" s="20"/>
      <c r="Z293" s="18"/>
      <c r="AA293" s="20"/>
      <c r="AB293" s="20"/>
    </row>
    <row r="294" customFormat="false" ht="26.85" hidden="false" customHeight="false" outlineLevel="0" collapsed="false">
      <c r="A294" s="13" t="s">
        <v>672</v>
      </c>
      <c r="B294" s="14" t="s">
        <v>673</v>
      </c>
      <c r="C294" s="15" t="s">
        <v>661</v>
      </c>
      <c r="D294" s="15" t="n">
        <v>12</v>
      </c>
      <c r="E294" s="14"/>
      <c r="F294" s="15" t="s">
        <v>80</v>
      </c>
      <c r="G294" s="14"/>
      <c r="H294" s="17" t="n">
        <v>0</v>
      </c>
      <c r="I294" s="18"/>
      <c r="J294" s="15" t="n">
        <f aca="false">IF(AND(H294=1,N(I294)&gt;0),1,0)</f>
        <v>0</v>
      </c>
      <c r="K294" s="15" t="str">
        <f aca="false">IF(J294=1,SUMPRODUCT(($J$5:$J$312=1)*(N($I$5:$I$312)&gt;N(I294)))+1,"")</f>
        <v/>
      </c>
      <c r="L294" s="15" t="str">
        <f aca="false">IF(J294&lt;&gt;1,"",IF(K294&lt;=ROUND(SUM($J$5:$J$312)*0.2,0),"上位20%",IF(K294&lt;=ROUND(SUM($J$5:$J$312)*0.8,0),"中位60%","下位20%")))</f>
        <v/>
      </c>
      <c r="M294" s="15" t="str">
        <f aca="false">IF(F294="あり","◎","")</f>
        <v/>
      </c>
      <c r="N294" s="15" t="str">
        <f aca="false">IF(OR(LEFT(G294,1)="A",LEFT(G294,1)="B"),"◎","")</f>
        <v/>
      </c>
      <c r="O294" s="19"/>
      <c r="P294" s="19"/>
      <c r="Q294" s="19"/>
      <c r="R294" s="19"/>
      <c r="S294" s="19"/>
      <c r="T294" s="19"/>
      <c r="U294" s="19"/>
      <c r="V294" s="19"/>
      <c r="W294" s="15" t="str">
        <f aca="false">IF((N(Q294)+N(R294)+N(S294)+N(T294)+N(U294)+N(V294))=0,"",IF(AND((N(Q294)+N(R294)+N(T294))&gt;=2,(N(Q294)+N(R294)+N(S294)+N(T294)+N(U294)+N(V294))&gt;=4),"高",IF(AND((N(Q294)+N(R294)+N(T294))&gt;=1,(N(Q294)+N(R294)+N(S294)+N(T294)+N(U294)+N(V294))=3),"中","低")))</f>
        <v/>
      </c>
      <c r="X294" s="15" t="str">
        <f aca="false">IF(L294="中位60%",IF(W294="高",3,IF(W294="中",2,IF(W294="低",1,0)))+IF(M294="◎",1,0)+IF(N294="◎",1,0)+IF(O294="○",1,0)+IF(P294="○",1,0),"")</f>
        <v/>
      </c>
      <c r="Y294" s="20"/>
      <c r="Z294" s="18"/>
      <c r="AA294" s="20"/>
      <c r="AB294" s="20"/>
    </row>
    <row r="295" customFormat="false" ht="26.85" hidden="false" customHeight="false" outlineLevel="0" collapsed="false">
      <c r="A295" s="13" t="s">
        <v>674</v>
      </c>
      <c r="B295" s="14" t="s">
        <v>675</v>
      </c>
      <c r="C295" s="15" t="s">
        <v>661</v>
      </c>
      <c r="D295" s="15" t="n">
        <v>12</v>
      </c>
      <c r="E295" s="14" t="s">
        <v>79</v>
      </c>
      <c r="F295" s="15" t="s">
        <v>80</v>
      </c>
      <c r="G295" s="14"/>
      <c r="H295" s="17" t="n">
        <v>0</v>
      </c>
      <c r="I295" s="18"/>
      <c r="J295" s="15" t="n">
        <f aca="false">IF(AND(H295=1,N(I295)&gt;0),1,0)</f>
        <v>0</v>
      </c>
      <c r="K295" s="15" t="str">
        <f aca="false">IF(J295=1,SUMPRODUCT(($J$5:$J$312=1)*(N($I$5:$I$312)&gt;N(I295)))+1,"")</f>
        <v/>
      </c>
      <c r="L295" s="15" t="str">
        <f aca="false">IF(J295&lt;&gt;1,"",IF(K295&lt;=ROUND(SUM($J$5:$J$312)*0.2,0),"上位20%",IF(K295&lt;=ROUND(SUM($J$5:$J$312)*0.8,0),"中位60%","下位20%")))</f>
        <v/>
      </c>
      <c r="M295" s="15" t="str">
        <f aca="false">IF(F295="あり","◎","")</f>
        <v/>
      </c>
      <c r="N295" s="15" t="str">
        <f aca="false">IF(OR(LEFT(G295,1)="A",LEFT(G295,1)="B"),"◎","")</f>
        <v/>
      </c>
      <c r="O295" s="19"/>
      <c r="P295" s="19"/>
      <c r="Q295" s="19"/>
      <c r="R295" s="19"/>
      <c r="S295" s="19"/>
      <c r="T295" s="19"/>
      <c r="U295" s="19"/>
      <c r="V295" s="19"/>
      <c r="W295" s="15" t="str">
        <f aca="false">IF((N(Q295)+N(R295)+N(S295)+N(T295)+N(U295)+N(V295))=0,"",IF(AND((N(Q295)+N(R295)+N(T295))&gt;=2,(N(Q295)+N(R295)+N(S295)+N(T295)+N(U295)+N(V295))&gt;=4),"高",IF(AND((N(Q295)+N(R295)+N(T295))&gt;=1,(N(Q295)+N(R295)+N(S295)+N(T295)+N(U295)+N(V295))=3),"中","低")))</f>
        <v/>
      </c>
      <c r="X295" s="15" t="str">
        <f aca="false">IF(L295="中位60%",IF(W295="高",3,IF(W295="中",2,IF(W295="低",1,0)))+IF(M295="◎",1,0)+IF(N295="◎",1,0)+IF(O295="○",1,0)+IF(P295="○",1,0),"")</f>
        <v/>
      </c>
      <c r="Y295" s="20"/>
      <c r="Z295" s="18"/>
      <c r="AA295" s="20"/>
      <c r="AB295" s="20"/>
    </row>
    <row r="296" customFormat="false" ht="26.85" hidden="false" customHeight="false" outlineLevel="0" collapsed="false">
      <c r="A296" s="13" t="s">
        <v>676</v>
      </c>
      <c r="B296" s="14" t="s">
        <v>677</v>
      </c>
      <c r="C296" s="15" t="s">
        <v>661</v>
      </c>
      <c r="D296" s="15" t="n">
        <v>12</v>
      </c>
      <c r="E296" s="14"/>
      <c r="F296" s="15" t="s">
        <v>80</v>
      </c>
      <c r="G296" s="14"/>
      <c r="H296" s="17" t="n">
        <v>0</v>
      </c>
      <c r="I296" s="18"/>
      <c r="J296" s="15" t="n">
        <f aca="false">IF(AND(H296=1,N(I296)&gt;0),1,0)</f>
        <v>0</v>
      </c>
      <c r="K296" s="15" t="str">
        <f aca="false">IF(J296=1,SUMPRODUCT(($J$5:$J$312=1)*(N($I$5:$I$312)&gt;N(I296)))+1,"")</f>
        <v/>
      </c>
      <c r="L296" s="15" t="str">
        <f aca="false">IF(J296&lt;&gt;1,"",IF(K296&lt;=ROUND(SUM($J$5:$J$312)*0.2,0),"上位20%",IF(K296&lt;=ROUND(SUM($J$5:$J$312)*0.8,0),"中位60%","下位20%")))</f>
        <v/>
      </c>
      <c r="M296" s="15" t="str">
        <f aca="false">IF(F296="あり","◎","")</f>
        <v/>
      </c>
      <c r="N296" s="15" t="str">
        <f aca="false">IF(OR(LEFT(G296,1)="A",LEFT(G296,1)="B"),"◎","")</f>
        <v/>
      </c>
      <c r="O296" s="19"/>
      <c r="P296" s="19"/>
      <c r="Q296" s="19"/>
      <c r="R296" s="19"/>
      <c r="S296" s="19"/>
      <c r="T296" s="19"/>
      <c r="U296" s="19"/>
      <c r="V296" s="19"/>
      <c r="W296" s="15" t="str">
        <f aca="false">IF((N(Q296)+N(R296)+N(S296)+N(T296)+N(U296)+N(V296))=0,"",IF(AND((N(Q296)+N(R296)+N(T296))&gt;=2,(N(Q296)+N(R296)+N(S296)+N(T296)+N(U296)+N(V296))&gt;=4),"高",IF(AND((N(Q296)+N(R296)+N(T296))&gt;=1,(N(Q296)+N(R296)+N(S296)+N(T296)+N(U296)+N(V296))=3),"中","低")))</f>
        <v/>
      </c>
      <c r="X296" s="15" t="str">
        <f aca="false">IF(L296="中位60%",IF(W296="高",3,IF(W296="中",2,IF(W296="低",1,0)))+IF(M296="◎",1,0)+IF(N296="◎",1,0)+IF(O296="○",1,0)+IF(P296="○",1,0),"")</f>
        <v/>
      </c>
      <c r="Y296" s="20"/>
      <c r="Z296" s="18"/>
      <c r="AA296" s="20"/>
      <c r="AB296" s="20"/>
    </row>
    <row r="297" customFormat="false" ht="26.85" hidden="false" customHeight="false" outlineLevel="0" collapsed="false">
      <c r="A297" s="13" t="s">
        <v>678</v>
      </c>
      <c r="B297" s="14" t="s">
        <v>679</v>
      </c>
      <c r="C297" s="15" t="s">
        <v>661</v>
      </c>
      <c r="D297" s="15" t="n">
        <v>12</v>
      </c>
      <c r="E297" s="14" t="s">
        <v>79</v>
      </c>
      <c r="F297" s="15" t="s">
        <v>80</v>
      </c>
      <c r="G297" s="14"/>
      <c r="H297" s="17" t="n">
        <v>0</v>
      </c>
      <c r="I297" s="18"/>
      <c r="J297" s="15" t="n">
        <f aca="false">IF(AND(H297=1,N(I297)&gt;0),1,0)</f>
        <v>0</v>
      </c>
      <c r="K297" s="15" t="str">
        <f aca="false">IF(J297=1,SUMPRODUCT(($J$5:$J$312=1)*(N($I$5:$I$312)&gt;N(I297)))+1,"")</f>
        <v/>
      </c>
      <c r="L297" s="15" t="str">
        <f aca="false">IF(J297&lt;&gt;1,"",IF(K297&lt;=ROUND(SUM($J$5:$J$312)*0.2,0),"上位20%",IF(K297&lt;=ROUND(SUM($J$5:$J$312)*0.8,0),"中位60%","下位20%")))</f>
        <v/>
      </c>
      <c r="M297" s="15" t="str">
        <f aca="false">IF(F297="あり","◎","")</f>
        <v/>
      </c>
      <c r="N297" s="15" t="str">
        <f aca="false">IF(OR(LEFT(G297,1)="A",LEFT(G297,1)="B"),"◎","")</f>
        <v/>
      </c>
      <c r="O297" s="19"/>
      <c r="P297" s="19"/>
      <c r="Q297" s="19"/>
      <c r="R297" s="19"/>
      <c r="S297" s="19"/>
      <c r="T297" s="19"/>
      <c r="U297" s="19"/>
      <c r="V297" s="19"/>
      <c r="W297" s="15" t="str">
        <f aca="false">IF((N(Q297)+N(R297)+N(S297)+N(T297)+N(U297)+N(V297))=0,"",IF(AND((N(Q297)+N(R297)+N(T297))&gt;=2,(N(Q297)+N(R297)+N(S297)+N(T297)+N(U297)+N(V297))&gt;=4),"高",IF(AND((N(Q297)+N(R297)+N(T297))&gt;=1,(N(Q297)+N(R297)+N(S297)+N(T297)+N(U297)+N(V297))=3),"中","低")))</f>
        <v/>
      </c>
      <c r="X297" s="15" t="str">
        <f aca="false">IF(L297="中位60%",IF(W297="高",3,IF(W297="中",2,IF(W297="低",1,0)))+IF(M297="◎",1,0)+IF(N297="◎",1,0)+IF(O297="○",1,0)+IF(P297="○",1,0),"")</f>
        <v/>
      </c>
      <c r="Y297" s="20"/>
      <c r="Z297" s="18"/>
      <c r="AA297" s="20"/>
      <c r="AB297" s="20"/>
    </row>
    <row r="298" customFormat="false" ht="26.85" hidden="false" customHeight="false" outlineLevel="0" collapsed="false">
      <c r="A298" s="13" t="s">
        <v>680</v>
      </c>
      <c r="B298" s="14" t="s">
        <v>681</v>
      </c>
      <c r="C298" s="15" t="s">
        <v>661</v>
      </c>
      <c r="D298" s="15" t="n">
        <v>12</v>
      </c>
      <c r="E298" s="14"/>
      <c r="F298" s="15" t="s">
        <v>80</v>
      </c>
      <c r="G298" s="14"/>
      <c r="H298" s="17" t="n">
        <v>0</v>
      </c>
      <c r="I298" s="18"/>
      <c r="J298" s="15" t="n">
        <f aca="false">IF(AND(H298=1,N(I298)&gt;0),1,0)</f>
        <v>0</v>
      </c>
      <c r="K298" s="15" t="str">
        <f aca="false">IF(J298=1,SUMPRODUCT(($J$5:$J$312=1)*(N($I$5:$I$312)&gt;N(I298)))+1,"")</f>
        <v/>
      </c>
      <c r="L298" s="15" t="str">
        <f aca="false">IF(J298&lt;&gt;1,"",IF(K298&lt;=ROUND(SUM($J$5:$J$312)*0.2,0),"上位20%",IF(K298&lt;=ROUND(SUM($J$5:$J$312)*0.8,0),"中位60%","下位20%")))</f>
        <v/>
      </c>
      <c r="M298" s="15" t="str">
        <f aca="false">IF(F298="あり","◎","")</f>
        <v/>
      </c>
      <c r="N298" s="15" t="str">
        <f aca="false">IF(OR(LEFT(G298,1)="A",LEFT(G298,1)="B"),"◎","")</f>
        <v/>
      </c>
      <c r="O298" s="19"/>
      <c r="P298" s="19"/>
      <c r="Q298" s="19"/>
      <c r="R298" s="19"/>
      <c r="S298" s="19"/>
      <c r="T298" s="19"/>
      <c r="U298" s="19"/>
      <c r="V298" s="19"/>
      <c r="W298" s="15" t="str">
        <f aca="false">IF((N(Q298)+N(R298)+N(S298)+N(T298)+N(U298)+N(V298))=0,"",IF(AND((N(Q298)+N(R298)+N(T298))&gt;=2,(N(Q298)+N(R298)+N(S298)+N(T298)+N(U298)+N(V298))&gt;=4),"高",IF(AND((N(Q298)+N(R298)+N(T298))&gt;=1,(N(Q298)+N(R298)+N(S298)+N(T298)+N(U298)+N(V298))=3),"中","低")))</f>
        <v/>
      </c>
      <c r="X298" s="15" t="str">
        <f aca="false">IF(L298="中位60%",IF(W298="高",3,IF(W298="中",2,IF(W298="低",1,0)))+IF(M298="◎",1,0)+IF(N298="◎",1,0)+IF(O298="○",1,0)+IF(P298="○",1,0),"")</f>
        <v/>
      </c>
      <c r="Y298" s="20"/>
      <c r="Z298" s="18"/>
      <c r="AA298" s="20"/>
      <c r="AB298" s="20"/>
    </row>
    <row r="299" customFormat="false" ht="26.85" hidden="false" customHeight="false" outlineLevel="0" collapsed="false">
      <c r="A299" s="13" t="s">
        <v>682</v>
      </c>
      <c r="B299" s="14" t="s">
        <v>683</v>
      </c>
      <c r="C299" s="15" t="s">
        <v>661</v>
      </c>
      <c r="D299" s="15" t="n">
        <v>12</v>
      </c>
      <c r="E299" s="14" t="s">
        <v>117</v>
      </c>
      <c r="F299" s="15" t="s">
        <v>80</v>
      </c>
      <c r="G299" s="14"/>
      <c r="H299" s="17" t="n">
        <v>0</v>
      </c>
      <c r="I299" s="18"/>
      <c r="J299" s="15" t="n">
        <f aca="false">IF(AND(H299=1,N(I299)&gt;0),1,0)</f>
        <v>0</v>
      </c>
      <c r="K299" s="15" t="str">
        <f aca="false">IF(J299=1,SUMPRODUCT(($J$5:$J$312=1)*(N($I$5:$I$312)&gt;N(I299)))+1,"")</f>
        <v/>
      </c>
      <c r="L299" s="15" t="str">
        <f aca="false">IF(J299&lt;&gt;1,"",IF(K299&lt;=ROUND(SUM($J$5:$J$312)*0.2,0),"上位20%",IF(K299&lt;=ROUND(SUM($J$5:$J$312)*0.8,0),"中位60%","下位20%")))</f>
        <v/>
      </c>
      <c r="M299" s="15" t="str">
        <f aca="false">IF(F299="あり","◎","")</f>
        <v/>
      </c>
      <c r="N299" s="15" t="str">
        <f aca="false">IF(OR(LEFT(G299,1)="A",LEFT(G299,1)="B"),"◎","")</f>
        <v/>
      </c>
      <c r="O299" s="19"/>
      <c r="P299" s="19"/>
      <c r="Q299" s="19"/>
      <c r="R299" s="19"/>
      <c r="S299" s="19"/>
      <c r="T299" s="19"/>
      <c r="U299" s="19"/>
      <c r="V299" s="19"/>
      <c r="W299" s="15" t="str">
        <f aca="false">IF((N(Q299)+N(R299)+N(S299)+N(T299)+N(U299)+N(V299))=0,"",IF(AND((N(Q299)+N(R299)+N(T299))&gt;=2,(N(Q299)+N(R299)+N(S299)+N(T299)+N(U299)+N(V299))&gt;=4),"高",IF(AND((N(Q299)+N(R299)+N(T299))&gt;=1,(N(Q299)+N(R299)+N(S299)+N(T299)+N(U299)+N(V299))=3),"中","低")))</f>
        <v/>
      </c>
      <c r="X299" s="15" t="str">
        <f aca="false">IF(L299="中位60%",IF(W299="高",3,IF(W299="中",2,IF(W299="低",1,0)))+IF(M299="◎",1,0)+IF(N299="◎",1,0)+IF(O299="○",1,0)+IF(P299="○",1,0),"")</f>
        <v/>
      </c>
      <c r="Y299" s="20"/>
      <c r="Z299" s="18"/>
      <c r="AA299" s="20"/>
      <c r="AB299" s="20"/>
    </row>
    <row r="300" customFormat="false" ht="26.85" hidden="false" customHeight="false" outlineLevel="0" collapsed="false">
      <c r="A300" s="13" t="s">
        <v>684</v>
      </c>
      <c r="B300" s="14" t="s">
        <v>685</v>
      </c>
      <c r="C300" s="15" t="s">
        <v>661</v>
      </c>
      <c r="D300" s="15" t="n">
        <v>12</v>
      </c>
      <c r="E300" s="14" t="s">
        <v>117</v>
      </c>
      <c r="F300" s="15" t="s">
        <v>80</v>
      </c>
      <c r="G300" s="14"/>
      <c r="H300" s="17" t="n">
        <v>0</v>
      </c>
      <c r="I300" s="18"/>
      <c r="J300" s="15" t="n">
        <f aca="false">IF(AND(H300=1,N(I300)&gt;0),1,0)</f>
        <v>0</v>
      </c>
      <c r="K300" s="15" t="str">
        <f aca="false">IF(J300=1,SUMPRODUCT(($J$5:$J$312=1)*(N($I$5:$I$312)&gt;N(I300)))+1,"")</f>
        <v/>
      </c>
      <c r="L300" s="15" t="str">
        <f aca="false">IF(J300&lt;&gt;1,"",IF(K300&lt;=ROUND(SUM($J$5:$J$312)*0.2,0),"上位20%",IF(K300&lt;=ROUND(SUM($J$5:$J$312)*0.8,0),"中位60%","下位20%")))</f>
        <v/>
      </c>
      <c r="M300" s="15" t="str">
        <f aca="false">IF(F300="あり","◎","")</f>
        <v/>
      </c>
      <c r="N300" s="15" t="str">
        <f aca="false">IF(OR(LEFT(G300,1)="A",LEFT(G300,1)="B"),"◎","")</f>
        <v/>
      </c>
      <c r="O300" s="19"/>
      <c r="P300" s="19"/>
      <c r="Q300" s="19"/>
      <c r="R300" s="19"/>
      <c r="S300" s="19"/>
      <c r="T300" s="19"/>
      <c r="U300" s="19"/>
      <c r="V300" s="19"/>
      <c r="W300" s="15" t="str">
        <f aca="false">IF((N(Q300)+N(R300)+N(S300)+N(T300)+N(U300)+N(V300))=0,"",IF(AND((N(Q300)+N(R300)+N(T300))&gt;=2,(N(Q300)+N(R300)+N(S300)+N(T300)+N(U300)+N(V300))&gt;=4),"高",IF(AND((N(Q300)+N(R300)+N(T300))&gt;=1,(N(Q300)+N(R300)+N(S300)+N(T300)+N(U300)+N(V300))=3),"中","低")))</f>
        <v/>
      </c>
      <c r="X300" s="15" t="str">
        <f aca="false">IF(L300="中位60%",IF(W300="高",3,IF(W300="中",2,IF(W300="低",1,0)))+IF(M300="◎",1,0)+IF(N300="◎",1,0)+IF(O300="○",1,0)+IF(P300="○",1,0),"")</f>
        <v/>
      </c>
      <c r="Y300" s="20"/>
      <c r="Z300" s="18"/>
      <c r="AA300" s="20"/>
      <c r="AB300" s="20"/>
    </row>
    <row r="301" customFormat="false" ht="26.85" hidden="false" customHeight="false" outlineLevel="0" collapsed="false">
      <c r="A301" s="13" t="s">
        <v>686</v>
      </c>
      <c r="B301" s="14" t="s">
        <v>687</v>
      </c>
      <c r="C301" s="15" t="s">
        <v>661</v>
      </c>
      <c r="D301" s="15" t="n">
        <v>12</v>
      </c>
      <c r="E301" s="14"/>
      <c r="F301" s="15" t="s">
        <v>80</v>
      </c>
      <c r="G301" s="14"/>
      <c r="H301" s="17" t="n">
        <v>0</v>
      </c>
      <c r="I301" s="18"/>
      <c r="J301" s="15" t="n">
        <f aca="false">IF(AND(H301=1,N(I301)&gt;0),1,0)</f>
        <v>0</v>
      </c>
      <c r="K301" s="15" t="str">
        <f aca="false">IF(J301=1,SUMPRODUCT(($J$5:$J$312=1)*(N($I$5:$I$312)&gt;N(I301)))+1,"")</f>
        <v/>
      </c>
      <c r="L301" s="15" t="str">
        <f aca="false">IF(J301&lt;&gt;1,"",IF(K301&lt;=ROUND(SUM($J$5:$J$312)*0.2,0),"上位20%",IF(K301&lt;=ROUND(SUM($J$5:$J$312)*0.8,0),"中位60%","下位20%")))</f>
        <v/>
      </c>
      <c r="M301" s="15" t="str">
        <f aca="false">IF(F301="あり","◎","")</f>
        <v/>
      </c>
      <c r="N301" s="15" t="str">
        <f aca="false">IF(OR(LEFT(G301,1)="A",LEFT(G301,1)="B"),"◎","")</f>
        <v/>
      </c>
      <c r="O301" s="19"/>
      <c r="P301" s="19"/>
      <c r="Q301" s="19"/>
      <c r="R301" s="19"/>
      <c r="S301" s="19"/>
      <c r="T301" s="19"/>
      <c r="U301" s="19"/>
      <c r="V301" s="19"/>
      <c r="W301" s="15" t="str">
        <f aca="false">IF((N(Q301)+N(R301)+N(S301)+N(T301)+N(U301)+N(V301))=0,"",IF(AND((N(Q301)+N(R301)+N(T301))&gt;=2,(N(Q301)+N(R301)+N(S301)+N(T301)+N(U301)+N(V301))&gt;=4),"高",IF(AND((N(Q301)+N(R301)+N(T301))&gt;=1,(N(Q301)+N(R301)+N(S301)+N(T301)+N(U301)+N(V301))=3),"中","低")))</f>
        <v/>
      </c>
      <c r="X301" s="15" t="str">
        <f aca="false">IF(L301="中位60%",IF(W301="高",3,IF(W301="中",2,IF(W301="低",1,0)))+IF(M301="◎",1,0)+IF(N301="◎",1,0)+IF(O301="○",1,0)+IF(P301="○",1,0),"")</f>
        <v/>
      </c>
      <c r="Y301" s="20"/>
      <c r="Z301" s="18"/>
      <c r="AA301" s="20"/>
      <c r="AB301" s="20"/>
    </row>
    <row r="302" customFormat="false" ht="26.85" hidden="false" customHeight="false" outlineLevel="0" collapsed="false">
      <c r="A302" s="13" t="s">
        <v>688</v>
      </c>
      <c r="B302" s="14" t="s">
        <v>689</v>
      </c>
      <c r="C302" s="15" t="s">
        <v>661</v>
      </c>
      <c r="D302" s="15" t="n">
        <v>12</v>
      </c>
      <c r="E302" s="14"/>
      <c r="F302" s="15" t="s">
        <v>80</v>
      </c>
      <c r="G302" s="14"/>
      <c r="H302" s="17" t="n">
        <v>0</v>
      </c>
      <c r="I302" s="18"/>
      <c r="J302" s="15" t="n">
        <f aca="false">IF(AND(H302=1,N(I302)&gt;0),1,0)</f>
        <v>0</v>
      </c>
      <c r="K302" s="15" t="str">
        <f aca="false">IF(J302=1,SUMPRODUCT(($J$5:$J$312=1)*(N($I$5:$I$312)&gt;N(I302)))+1,"")</f>
        <v/>
      </c>
      <c r="L302" s="15" t="str">
        <f aca="false">IF(J302&lt;&gt;1,"",IF(K302&lt;=ROUND(SUM($J$5:$J$312)*0.2,0),"上位20%",IF(K302&lt;=ROUND(SUM($J$5:$J$312)*0.8,0),"中位60%","下位20%")))</f>
        <v/>
      </c>
      <c r="M302" s="15" t="str">
        <f aca="false">IF(F302="あり","◎","")</f>
        <v/>
      </c>
      <c r="N302" s="15" t="str">
        <f aca="false">IF(OR(LEFT(G302,1)="A",LEFT(G302,1)="B"),"◎","")</f>
        <v/>
      </c>
      <c r="O302" s="19"/>
      <c r="P302" s="19"/>
      <c r="Q302" s="19"/>
      <c r="R302" s="19"/>
      <c r="S302" s="19"/>
      <c r="T302" s="19"/>
      <c r="U302" s="19"/>
      <c r="V302" s="19"/>
      <c r="W302" s="15" t="str">
        <f aca="false">IF((N(Q302)+N(R302)+N(S302)+N(T302)+N(U302)+N(V302))=0,"",IF(AND((N(Q302)+N(R302)+N(T302))&gt;=2,(N(Q302)+N(R302)+N(S302)+N(T302)+N(U302)+N(V302))&gt;=4),"高",IF(AND((N(Q302)+N(R302)+N(T302))&gt;=1,(N(Q302)+N(R302)+N(S302)+N(T302)+N(U302)+N(V302))=3),"中","低")))</f>
        <v/>
      </c>
      <c r="X302" s="15" t="str">
        <f aca="false">IF(L302="中位60%",IF(W302="高",3,IF(W302="中",2,IF(W302="低",1,0)))+IF(M302="◎",1,0)+IF(N302="◎",1,0)+IF(O302="○",1,0)+IF(P302="○",1,0),"")</f>
        <v/>
      </c>
      <c r="Y302" s="20"/>
      <c r="Z302" s="18"/>
      <c r="AA302" s="20"/>
      <c r="AB302" s="20"/>
    </row>
    <row r="303" customFormat="false" ht="26.85" hidden="false" customHeight="false" outlineLevel="0" collapsed="false">
      <c r="A303" s="13" t="s">
        <v>690</v>
      </c>
      <c r="B303" s="14" t="s">
        <v>691</v>
      </c>
      <c r="C303" s="15" t="s">
        <v>661</v>
      </c>
      <c r="D303" s="15" t="n">
        <v>12</v>
      </c>
      <c r="E303" s="14"/>
      <c r="F303" s="15" t="s">
        <v>80</v>
      </c>
      <c r="G303" s="14"/>
      <c r="H303" s="17" t="n">
        <v>0</v>
      </c>
      <c r="I303" s="18"/>
      <c r="J303" s="15" t="n">
        <f aca="false">IF(AND(H303=1,N(I303)&gt;0),1,0)</f>
        <v>0</v>
      </c>
      <c r="K303" s="15" t="str">
        <f aca="false">IF(J303=1,SUMPRODUCT(($J$5:$J$312=1)*(N($I$5:$I$312)&gt;N(I303)))+1,"")</f>
        <v/>
      </c>
      <c r="L303" s="15" t="str">
        <f aca="false">IF(J303&lt;&gt;1,"",IF(K303&lt;=ROUND(SUM($J$5:$J$312)*0.2,0),"上位20%",IF(K303&lt;=ROUND(SUM($J$5:$J$312)*0.8,0),"中位60%","下位20%")))</f>
        <v/>
      </c>
      <c r="M303" s="15" t="str">
        <f aca="false">IF(F303="あり","◎","")</f>
        <v/>
      </c>
      <c r="N303" s="15" t="str">
        <f aca="false">IF(OR(LEFT(G303,1)="A",LEFT(G303,1)="B"),"◎","")</f>
        <v/>
      </c>
      <c r="O303" s="19"/>
      <c r="P303" s="19"/>
      <c r="Q303" s="19"/>
      <c r="R303" s="19"/>
      <c r="S303" s="19"/>
      <c r="T303" s="19"/>
      <c r="U303" s="19"/>
      <c r="V303" s="19"/>
      <c r="W303" s="15" t="str">
        <f aca="false">IF((N(Q303)+N(R303)+N(S303)+N(T303)+N(U303)+N(V303))=0,"",IF(AND((N(Q303)+N(R303)+N(T303))&gt;=2,(N(Q303)+N(R303)+N(S303)+N(T303)+N(U303)+N(V303))&gt;=4),"高",IF(AND((N(Q303)+N(R303)+N(T303))&gt;=1,(N(Q303)+N(R303)+N(S303)+N(T303)+N(U303)+N(V303))=3),"中","低")))</f>
        <v/>
      </c>
      <c r="X303" s="15" t="str">
        <f aca="false">IF(L303="中位60%",IF(W303="高",3,IF(W303="中",2,IF(W303="低",1,0)))+IF(M303="◎",1,0)+IF(N303="◎",1,0)+IF(O303="○",1,0)+IF(P303="○",1,0),"")</f>
        <v/>
      </c>
      <c r="Y303" s="20"/>
      <c r="Z303" s="18"/>
      <c r="AA303" s="20"/>
      <c r="AB303" s="20"/>
    </row>
    <row r="304" customFormat="false" ht="26.85" hidden="false" customHeight="false" outlineLevel="0" collapsed="false">
      <c r="A304" s="13" t="s">
        <v>692</v>
      </c>
      <c r="B304" s="14" t="s">
        <v>693</v>
      </c>
      <c r="C304" s="15" t="s">
        <v>661</v>
      </c>
      <c r="D304" s="15" t="n">
        <v>12</v>
      </c>
      <c r="E304" s="14" t="s">
        <v>455</v>
      </c>
      <c r="F304" s="15" t="s">
        <v>80</v>
      </c>
      <c r="G304" s="14"/>
      <c r="H304" s="17" t="n">
        <v>0</v>
      </c>
      <c r="I304" s="18"/>
      <c r="J304" s="15" t="n">
        <f aca="false">IF(AND(H304=1,N(I304)&gt;0),1,0)</f>
        <v>0</v>
      </c>
      <c r="K304" s="15" t="str">
        <f aca="false">IF(J304=1,SUMPRODUCT(($J$5:$J$312=1)*(N($I$5:$I$312)&gt;N(I304)))+1,"")</f>
        <v/>
      </c>
      <c r="L304" s="15" t="str">
        <f aca="false">IF(J304&lt;&gt;1,"",IF(K304&lt;=ROUND(SUM($J$5:$J$312)*0.2,0),"上位20%",IF(K304&lt;=ROUND(SUM($J$5:$J$312)*0.8,0),"中位60%","下位20%")))</f>
        <v/>
      </c>
      <c r="M304" s="15" t="str">
        <f aca="false">IF(F304="あり","◎","")</f>
        <v/>
      </c>
      <c r="N304" s="15" t="str">
        <f aca="false">IF(OR(LEFT(G304,1)="A",LEFT(G304,1)="B"),"◎","")</f>
        <v/>
      </c>
      <c r="O304" s="19"/>
      <c r="P304" s="19"/>
      <c r="Q304" s="19"/>
      <c r="R304" s="19"/>
      <c r="S304" s="19"/>
      <c r="T304" s="19"/>
      <c r="U304" s="19"/>
      <c r="V304" s="19"/>
      <c r="W304" s="15" t="str">
        <f aca="false">IF((N(Q304)+N(R304)+N(S304)+N(T304)+N(U304)+N(V304))=0,"",IF(AND((N(Q304)+N(R304)+N(T304))&gt;=2,(N(Q304)+N(R304)+N(S304)+N(T304)+N(U304)+N(V304))&gt;=4),"高",IF(AND((N(Q304)+N(R304)+N(T304))&gt;=1,(N(Q304)+N(R304)+N(S304)+N(T304)+N(U304)+N(V304))=3),"中","低")))</f>
        <v/>
      </c>
      <c r="X304" s="15" t="str">
        <f aca="false">IF(L304="中位60%",IF(W304="高",3,IF(W304="中",2,IF(W304="低",1,0)))+IF(M304="◎",1,0)+IF(N304="◎",1,0)+IF(O304="○",1,0)+IF(P304="○",1,0),"")</f>
        <v/>
      </c>
      <c r="Y304" s="20"/>
      <c r="Z304" s="18"/>
      <c r="AA304" s="20"/>
      <c r="AB304" s="20"/>
    </row>
    <row r="305" customFormat="false" ht="26.85" hidden="false" customHeight="false" outlineLevel="0" collapsed="false">
      <c r="A305" s="13" t="s">
        <v>694</v>
      </c>
      <c r="B305" s="14" t="s">
        <v>695</v>
      </c>
      <c r="C305" s="15" t="s">
        <v>661</v>
      </c>
      <c r="D305" s="15" t="n">
        <v>12</v>
      </c>
      <c r="E305" s="14"/>
      <c r="F305" s="15" t="s">
        <v>80</v>
      </c>
      <c r="G305" s="14"/>
      <c r="H305" s="17" t="n">
        <v>0</v>
      </c>
      <c r="I305" s="18"/>
      <c r="J305" s="15" t="n">
        <f aca="false">IF(AND(H305=1,N(I305)&gt;0),1,0)</f>
        <v>0</v>
      </c>
      <c r="K305" s="15" t="str">
        <f aca="false">IF(J305=1,SUMPRODUCT(($J$5:$J$312=1)*(N($I$5:$I$312)&gt;N(I305)))+1,"")</f>
        <v/>
      </c>
      <c r="L305" s="15" t="str">
        <f aca="false">IF(J305&lt;&gt;1,"",IF(K305&lt;=ROUND(SUM($J$5:$J$312)*0.2,0),"上位20%",IF(K305&lt;=ROUND(SUM($J$5:$J$312)*0.8,0),"中位60%","下位20%")))</f>
        <v/>
      </c>
      <c r="M305" s="15" t="str">
        <f aca="false">IF(F305="あり","◎","")</f>
        <v/>
      </c>
      <c r="N305" s="15" t="str">
        <f aca="false">IF(OR(LEFT(G305,1)="A",LEFT(G305,1)="B"),"◎","")</f>
        <v/>
      </c>
      <c r="O305" s="19"/>
      <c r="P305" s="19"/>
      <c r="Q305" s="19"/>
      <c r="R305" s="19"/>
      <c r="S305" s="19"/>
      <c r="T305" s="19"/>
      <c r="U305" s="19"/>
      <c r="V305" s="19"/>
      <c r="W305" s="15" t="str">
        <f aca="false">IF((N(Q305)+N(R305)+N(S305)+N(T305)+N(U305)+N(V305))=0,"",IF(AND((N(Q305)+N(R305)+N(T305))&gt;=2,(N(Q305)+N(R305)+N(S305)+N(T305)+N(U305)+N(V305))&gt;=4),"高",IF(AND((N(Q305)+N(R305)+N(T305))&gt;=1,(N(Q305)+N(R305)+N(S305)+N(T305)+N(U305)+N(V305))=3),"中","低")))</f>
        <v/>
      </c>
      <c r="X305" s="15" t="str">
        <f aca="false">IF(L305="中位60%",IF(W305="高",3,IF(W305="中",2,IF(W305="低",1,0)))+IF(M305="◎",1,0)+IF(N305="◎",1,0)+IF(O305="○",1,0)+IF(P305="○",1,0),"")</f>
        <v/>
      </c>
      <c r="Y305" s="20"/>
      <c r="Z305" s="18"/>
      <c r="AA305" s="20"/>
      <c r="AB305" s="20"/>
    </row>
    <row r="306" customFormat="false" ht="26.85" hidden="false" customHeight="false" outlineLevel="0" collapsed="false">
      <c r="A306" s="13" t="s">
        <v>696</v>
      </c>
      <c r="B306" s="14" t="s">
        <v>697</v>
      </c>
      <c r="C306" s="15" t="s">
        <v>661</v>
      </c>
      <c r="D306" s="15" t="n">
        <v>12</v>
      </c>
      <c r="E306" s="14"/>
      <c r="F306" s="15" t="s">
        <v>80</v>
      </c>
      <c r="G306" s="14"/>
      <c r="H306" s="17" t="n">
        <v>0</v>
      </c>
      <c r="I306" s="18"/>
      <c r="J306" s="15" t="n">
        <f aca="false">IF(AND(H306=1,N(I306)&gt;0),1,0)</f>
        <v>0</v>
      </c>
      <c r="K306" s="15" t="str">
        <f aca="false">IF(J306=1,SUMPRODUCT(($J$5:$J$312=1)*(N($I$5:$I$312)&gt;N(I306)))+1,"")</f>
        <v/>
      </c>
      <c r="L306" s="15" t="str">
        <f aca="false">IF(J306&lt;&gt;1,"",IF(K306&lt;=ROUND(SUM($J$5:$J$312)*0.2,0),"上位20%",IF(K306&lt;=ROUND(SUM($J$5:$J$312)*0.8,0),"中位60%","下位20%")))</f>
        <v/>
      </c>
      <c r="M306" s="15" t="str">
        <f aca="false">IF(F306="あり","◎","")</f>
        <v/>
      </c>
      <c r="N306" s="15" t="str">
        <f aca="false">IF(OR(LEFT(G306,1)="A",LEFT(G306,1)="B"),"◎","")</f>
        <v/>
      </c>
      <c r="O306" s="19"/>
      <c r="P306" s="19"/>
      <c r="Q306" s="19"/>
      <c r="R306" s="19"/>
      <c r="S306" s="19"/>
      <c r="T306" s="19"/>
      <c r="U306" s="19"/>
      <c r="V306" s="19"/>
      <c r="W306" s="15" t="str">
        <f aca="false">IF((N(Q306)+N(R306)+N(S306)+N(T306)+N(U306)+N(V306))=0,"",IF(AND((N(Q306)+N(R306)+N(T306))&gt;=2,(N(Q306)+N(R306)+N(S306)+N(T306)+N(U306)+N(V306))&gt;=4),"高",IF(AND((N(Q306)+N(R306)+N(T306))&gt;=1,(N(Q306)+N(R306)+N(S306)+N(T306)+N(U306)+N(V306))=3),"中","低")))</f>
        <v/>
      </c>
      <c r="X306" s="15" t="str">
        <f aca="false">IF(L306="中位60%",IF(W306="高",3,IF(W306="中",2,IF(W306="低",1,0)))+IF(M306="◎",1,0)+IF(N306="◎",1,0)+IF(O306="○",1,0)+IF(P306="○",1,0),"")</f>
        <v/>
      </c>
      <c r="Y306" s="20"/>
      <c r="Z306" s="18"/>
      <c r="AA306" s="20"/>
      <c r="AB306" s="20"/>
    </row>
    <row r="307" customFormat="false" ht="26.85" hidden="false" customHeight="false" outlineLevel="0" collapsed="false">
      <c r="A307" s="13" t="s">
        <v>698</v>
      </c>
      <c r="B307" s="14" t="s">
        <v>699</v>
      </c>
      <c r="C307" s="15" t="s">
        <v>661</v>
      </c>
      <c r="D307" s="15" t="n">
        <v>12</v>
      </c>
      <c r="E307" s="14"/>
      <c r="F307" s="15" t="s">
        <v>80</v>
      </c>
      <c r="G307" s="14"/>
      <c r="H307" s="17" t="n">
        <v>0</v>
      </c>
      <c r="I307" s="18"/>
      <c r="J307" s="15" t="n">
        <f aca="false">IF(AND(H307=1,N(I307)&gt;0),1,0)</f>
        <v>0</v>
      </c>
      <c r="K307" s="15" t="str">
        <f aca="false">IF(J307=1,SUMPRODUCT(($J$5:$J$312=1)*(N($I$5:$I$312)&gt;N(I307)))+1,"")</f>
        <v/>
      </c>
      <c r="L307" s="15" t="str">
        <f aca="false">IF(J307&lt;&gt;1,"",IF(K307&lt;=ROUND(SUM($J$5:$J$312)*0.2,0),"上位20%",IF(K307&lt;=ROUND(SUM($J$5:$J$312)*0.8,0),"中位60%","下位20%")))</f>
        <v/>
      </c>
      <c r="M307" s="15" t="str">
        <f aca="false">IF(F307="あり","◎","")</f>
        <v/>
      </c>
      <c r="N307" s="15" t="str">
        <f aca="false">IF(OR(LEFT(G307,1)="A",LEFT(G307,1)="B"),"◎","")</f>
        <v/>
      </c>
      <c r="O307" s="19"/>
      <c r="P307" s="19"/>
      <c r="Q307" s="19"/>
      <c r="R307" s="19"/>
      <c r="S307" s="19"/>
      <c r="T307" s="19"/>
      <c r="U307" s="19"/>
      <c r="V307" s="19"/>
      <c r="W307" s="15" t="str">
        <f aca="false">IF((N(Q307)+N(R307)+N(S307)+N(T307)+N(U307)+N(V307))=0,"",IF(AND((N(Q307)+N(R307)+N(T307))&gt;=2,(N(Q307)+N(R307)+N(S307)+N(T307)+N(U307)+N(V307))&gt;=4),"高",IF(AND((N(Q307)+N(R307)+N(T307))&gt;=1,(N(Q307)+N(R307)+N(S307)+N(T307)+N(U307)+N(V307))=3),"中","低")))</f>
        <v/>
      </c>
      <c r="X307" s="15" t="str">
        <f aca="false">IF(L307="中位60%",IF(W307="高",3,IF(W307="中",2,IF(W307="低",1,0)))+IF(M307="◎",1,0)+IF(N307="◎",1,0)+IF(O307="○",1,0)+IF(P307="○",1,0),"")</f>
        <v/>
      </c>
      <c r="Y307" s="20"/>
      <c r="Z307" s="18"/>
      <c r="AA307" s="20"/>
      <c r="AB307" s="20"/>
    </row>
    <row r="308" customFormat="false" ht="15" hidden="false" customHeight="false" outlineLevel="0" collapsed="false">
      <c r="A308" s="13" t="s">
        <v>700</v>
      </c>
      <c r="B308" s="14" t="s">
        <v>701</v>
      </c>
      <c r="C308" s="15" t="s">
        <v>702</v>
      </c>
      <c r="D308" s="15"/>
      <c r="E308" s="14" t="s">
        <v>62</v>
      </c>
      <c r="F308" s="15" t="s">
        <v>80</v>
      </c>
      <c r="G308" s="14"/>
      <c r="H308" s="17" t="n">
        <v>0</v>
      </c>
      <c r="I308" s="18"/>
      <c r="J308" s="15" t="n">
        <f aca="false">IF(AND(H308=1,N(I308)&gt;0),1,0)</f>
        <v>0</v>
      </c>
      <c r="K308" s="15" t="str">
        <f aca="false">IF(J308=1,SUMPRODUCT(($J$5:$J$312=1)*(N($I$5:$I$312)&gt;N(I308)))+1,"")</f>
        <v/>
      </c>
      <c r="L308" s="15" t="str">
        <f aca="false">IF(J308&lt;&gt;1,"",IF(K308&lt;=ROUND(SUM($J$5:$J$312)*0.2,0),"上位20%",IF(K308&lt;=ROUND(SUM($J$5:$J$312)*0.8,0),"中位60%","下位20%")))</f>
        <v/>
      </c>
      <c r="M308" s="15" t="str">
        <f aca="false">IF(F308="あり","◎","")</f>
        <v/>
      </c>
      <c r="N308" s="15" t="str">
        <f aca="false">IF(OR(LEFT(G308,1)="A",LEFT(G308,1)="B"),"◎","")</f>
        <v/>
      </c>
      <c r="O308" s="19"/>
      <c r="P308" s="19"/>
      <c r="Q308" s="19"/>
      <c r="R308" s="19"/>
      <c r="S308" s="19"/>
      <c r="T308" s="19"/>
      <c r="U308" s="19"/>
      <c r="V308" s="19"/>
      <c r="W308" s="15" t="str">
        <f aca="false">IF((N(Q308)+N(R308)+N(S308)+N(T308)+N(U308)+N(V308))=0,"",IF(AND((N(Q308)+N(R308)+N(T308))&gt;=2,(N(Q308)+N(R308)+N(S308)+N(T308)+N(U308)+N(V308))&gt;=4),"高",IF(AND((N(Q308)+N(R308)+N(T308))&gt;=1,(N(Q308)+N(R308)+N(S308)+N(T308)+N(U308)+N(V308))=3),"中","低")))</f>
        <v/>
      </c>
      <c r="X308" s="15" t="str">
        <f aca="false">IF(L308="中位60%",IF(W308="高",3,IF(W308="中",2,IF(W308="低",1,0)))+IF(M308="◎",1,0)+IF(N308="◎",1,0)+IF(O308="○",1,0)+IF(P308="○",1,0),"")</f>
        <v/>
      </c>
      <c r="Y308" s="20"/>
      <c r="Z308" s="18"/>
      <c r="AA308" s="20"/>
      <c r="AB308" s="20"/>
    </row>
    <row r="309" customFormat="false" ht="15" hidden="false" customHeight="false" outlineLevel="0" collapsed="false">
      <c r="A309" s="13" t="s">
        <v>703</v>
      </c>
      <c r="B309" s="14" t="s">
        <v>704</v>
      </c>
      <c r="C309" s="15" t="s">
        <v>705</v>
      </c>
      <c r="D309" s="15" t="n">
        <v>12</v>
      </c>
      <c r="E309" s="14" t="s">
        <v>117</v>
      </c>
      <c r="F309" s="15" t="s">
        <v>80</v>
      </c>
      <c r="G309" s="14"/>
      <c r="H309" s="17" t="n">
        <v>1</v>
      </c>
      <c r="I309" s="18"/>
      <c r="J309" s="15" t="n">
        <f aca="false">IF(AND(H309=1,N(I309)&gt;0),1,0)</f>
        <v>0</v>
      </c>
      <c r="K309" s="15" t="str">
        <f aca="false">IF(J309=1,SUMPRODUCT(($J$5:$J$312=1)*(N($I$5:$I$312)&gt;N(I309)))+1,"")</f>
        <v/>
      </c>
      <c r="L309" s="15" t="str">
        <f aca="false">IF(J309&lt;&gt;1,"",IF(K309&lt;=ROUND(SUM($J$5:$J$312)*0.2,0),"上位20%",IF(K309&lt;=ROUND(SUM($J$5:$J$312)*0.8,0),"中位60%","下位20%")))</f>
        <v/>
      </c>
      <c r="M309" s="15" t="str">
        <f aca="false">IF(F309="あり","◎","")</f>
        <v/>
      </c>
      <c r="N309" s="15" t="str">
        <f aca="false">IF(OR(LEFT(G309,1)="A",LEFT(G309,1)="B"),"◎","")</f>
        <v/>
      </c>
      <c r="O309" s="19"/>
      <c r="P309" s="19"/>
      <c r="Q309" s="19"/>
      <c r="R309" s="19"/>
      <c r="S309" s="19"/>
      <c r="T309" s="19"/>
      <c r="U309" s="19"/>
      <c r="V309" s="19"/>
      <c r="W309" s="15" t="str">
        <f aca="false">IF((N(Q309)+N(R309)+N(S309)+N(T309)+N(U309)+N(V309))=0,"",IF(AND((N(Q309)+N(R309)+N(T309))&gt;=2,(N(Q309)+N(R309)+N(S309)+N(T309)+N(U309)+N(V309))&gt;=4),"高",IF(AND((N(Q309)+N(R309)+N(T309))&gt;=1,(N(Q309)+N(R309)+N(S309)+N(T309)+N(U309)+N(V309))=3),"中","低")))</f>
        <v/>
      </c>
      <c r="X309" s="15" t="str">
        <f aca="false">IF(L309="中位60%",IF(W309="高",3,IF(W309="中",2,IF(W309="低",1,0)))+IF(M309="◎",1,0)+IF(N309="◎",1,0)+IF(O309="○",1,0)+IF(P309="○",1,0),"")</f>
        <v/>
      </c>
      <c r="Y309" s="20"/>
      <c r="Z309" s="18"/>
      <c r="AA309" s="20"/>
      <c r="AB309" s="20"/>
    </row>
    <row r="310" customFormat="false" ht="26.85" hidden="false" customHeight="false" outlineLevel="0" collapsed="false">
      <c r="A310" s="13" t="s">
        <v>706</v>
      </c>
      <c r="B310" s="14" t="s">
        <v>707</v>
      </c>
      <c r="C310" s="15" t="s">
        <v>661</v>
      </c>
      <c r="D310" s="15" t="n">
        <v>12</v>
      </c>
      <c r="E310" s="14"/>
      <c r="F310" s="15" t="s">
        <v>80</v>
      </c>
      <c r="G310" s="14"/>
      <c r="H310" s="17" t="n">
        <v>0</v>
      </c>
      <c r="I310" s="18"/>
      <c r="J310" s="15" t="n">
        <f aca="false">IF(AND(H310=1,N(I310)&gt;0),1,0)</f>
        <v>0</v>
      </c>
      <c r="K310" s="15" t="str">
        <f aca="false">IF(J310=1,SUMPRODUCT(($J$5:$J$312=1)*(N($I$5:$I$312)&gt;N(I310)))+1,"")</f>
        <v/>
      </c>
      <c r="L310" s="15" t="str">
        <f aca="false">IF(J310&lt;&gt;1,"",IF(K310&lt;=ROUND(SUM($J$5:$J$312)*0.2,0),"上位20%",IF(K310&lt;=ROUND(SUM($J$5:$J$312)*0.8,0),"中位60%","下位20%")))</f>
        <v/>
      </c>
      <c r="M310" s="15" t="str">
        <f aca="false">IF(F310="あり","◎","")</f>
        <v/>
      </c>
      <c r="N310" s="15" t="str">
        <f aca="false">IF(OR(LEFT(G310,1)="A",LEFT(G310,1)="B"),"◎","")</f>
        <v/>
      </c>
      <c r="O310" s="19"/>
      <c r="P310" s="19"/>
      <c r="Q310" s="19"/>
      <c r="R310" s="19"/>
      <c r="S310" s="19"/>
      <c r="T310" s="19"/>
      <c r="U310" s="19"/>
      <c r="V310" s="19"/>
      <c r="W310" s="15" t="str">
        <f aca="false">IF((N(Q310)+N(R310)+N(S310)+N(T310)+N(U310)+N(V310))=0,"",IF(AND((N(Q310)+N(R310)+N(T310))&gt;=2,(N(Q310)+N(R310)+N(S310)+N(T310)+N(U310)+N(V310))&gt;=4),"高",IF(AND((N(Q310)+N(R310)+N(T310))&gt;=1,(N(Q310)+N(R310)+N(S310)+N(T310)+N(U310)+N(V310))=3),"中","低")))</f>
        <v/>
      </c>
      <c r="X310" s="15" t="str">
        <f aca="false">IF(L310="中位60%",IF(W310="高",3,IF(W310="中",2,IF(W310="低",1,0)))+IF(M310="◎",1,0)+IF(N310="◎",1,0)+IF(O310="○",1,0)+IF(P310="○",1,0),"")</f>
        <v/>
      </c>
      <c r="Y310" s="20"/>
      <c r="Z310" s="18"/>
      <c r="AA310" s="20"/>
      <c r="AB310" s="20"/>
    </row>
    <row r="311" customFormat="false" ht="26.85" hidden="false" customHeight="false" outlineLevel="0" collapsed="false">
      <c r="A311" s="13" t="s">
        <v>708</v>
      </c>
      <c r="B311" s="14" t="s">
        <v>601</v>
      </c>
      <c r="C311" s="15" t="s">
        <v>661</v>
      </c>
      <c r="D311" s="15" t="n">
        <v>12</v>
      </c>
      <c r="E311" s="14"/>
      <c r="F311" s="15" t="s">
        <v>80</v>
      </c>
      <c r="G311" s="14"/>
      <c r="H311" s="17" t="n">
        <v>0</v>
      </c>
      <c r="I311" s="18"/>
      <c r="J311" s="15" t="n">
        <f aca="false">IF(AND(H311=1,N(I311)&gt;0),1,0)</f>
        <v>0</v>
      </c>
      <c r="K311" s="15" t="str">
        <f aca="false">IF(J311=1,SUMPRODUCT(($J$5:$J$312=1)*(N($I$5:$I$312)&gt;N(I311)))+1,"")</f>
        <v/>
      </c>
      <c r="L311" s="15" t="str">
        <f aca="false">IF(J311&lt;&gt;1,"",IF(K311&lt;=ROUND(SUM($J$5:$J$312)*0.2,0),"上位20%",IF(K311&lt;=ROUND(SUM($J$5:$J$312)*0.8,0),"中位60%","下位20%")))</f>
        <v/>
      </c>
      <c r="M311" s="15" t="str">
        <f aca="false">IF(F311="あり","◎","")</f>
        <v/>
      </c>
      <c r="N311" s="15" t="str">
        <f aca="false">IF(OR(LEFT(G311,1)="A",LEFT(G311,1)="B"),"◎","")</f>
        <v/>
      </c>
      <c r="O311" s="19"/>
      <c r="P311" s="19"/>
      <c r="Q311" s="19"/>
      <c r="R311" s="19"/>
      <c r="S311" s="19"/>
      <c r="T311" s="19"/>
      <c r="U311" s="19"/>
      <c r="V311" s="19"/>
      <c r="W311" s="15" t="str">
        <f aca="false">IF((N(Q311)+N(R311)+N(S311)+N(T311)+N(U311)+N(V311))=0,"",IF(AND((N(Q311)+N(R311)+N(T311))&gt;=2,(N(Q311)+N(R311)+N(S311)+N(T311)+N(U311)+N(V311))&gt;=4),"高",IF(AND((N(Q311)+N(R311)+N(T311))&gt;=1,(N(Q311)+N(R311)+N(S311)+N(T311)+N(U311)+N(V311))=3),"中","低")))</f>
        <v/>
      </c>
      <c r="X311" s="15" t="str">
        <f aca="false">IF(L311="中位60%",IF(W311="高",3,IF(W311="中",2,IF(W311="低",1,0)))+IF(M311="◎",1,0)+IF(N311="◎",1,0)+IF(O311="○",1,0)+IF(P311="○",1,0),"")</f>
        <v/>
      </c>
      <c r="Y311" s="20"/>
      <c r="Z311" s="18"/>
      <c r="AA311" s="20"/>
      <c r="AB311" s="20"/>
    </row>
    <row r="312" customFormat="false" ht="26.85" hidden="false" customHeight="false" outlineLevel="0" collapsed="false">
      <c r="A312" s="13" t="s">
        <v>709</v>
      </c>
      <c r="B312" s="14" t="s">
        <v>710</v>
      </c>
      <c r="C312" s="15" t="s">
        <v>661</v>
      </c>
      <c r="D312" s="15" t="n">
        <v>12</v>
      </c>
      <c r="E312" s="14"/>
      <c r="F312" s="15" t="s">
        <v>80</v>
      </c>
      <c r="G312" s="14"/>
      <c r="H312" s="17" t="n">
        <v>0</v>
      </c>
      <c r="I312" s="18"/>
      <c r="J312" s="15" t="n">
        <f aca="false">IF(AND(H312=1,N(I312)&gt;0),1,0)</f>
        <v>0</v>
      </c>
      <c r="K312" s="15" t="str">
        <f aca="false">IF(J312=1,SUMPRODUCT(($J$5:$J$312=1)*(N($I$5:$I$312)&gt;N(I312)))+1,"")</f>
        <v/>
      </c>
      <c r="L312" s="15" t="str">
        <f aca="false">IF(J312&lt;&gt;1,"",IF(K312&lt;=ROUND(SUM($J$5:$J$312)*0.2,0),"上位20%",IF(K312&lt;=ROUND(SUM($J$5:$J$312)*0.8,0),"中位60%","下位20%")))</f>
        <v/>
      </c>
      <c r="M312" s="15" t="str">
        <f aca="false">IF(F312="あり","◎","")</f>
        <v/>
      </c>
      <c r="N312" s="15" t="str">
        <f aca="false">IF(OR(LEFT(G312,1)="A",LEFT(G312,1)="B"),"◎","")</f>
        <v/>
      </c>
      <c r="O312" s="19"/>
      <c r="P312" s="19"/>
      <c r="Q312" s="19"/>
      <c r="R312" s="19"/>
      <c r="S312" s="19"/>
      <c r="T312" s="19"/>
      <c r="U312" s="19"/>
      <c r="V312" s="19"/>
      <c r="W312" s="15" t="str">
        <f aca="false">IF((N(Q312)+N(R312)+N(S312)+N(T312)+N(U312)+N(V312))=0,"",IF(AND((N(Q312)+N(R312)+N(T312))&gt;=2,(N(Q312)+N(R312)+N(S312)+N(T312)+N(U312)+N(V312))&gt;=4),"高",IF(AND((N(Q312)+N(R312)+N(T312))&gt;=1,(N(Q312)+N(R312)+N(S312)+N(T312)+N(U312)+N(V312))=3),"中","低")))</f>
        <v/>
      </c>
      <c r="X312" s="15" t="str">
        <f aca="false">IF(L312="中位60%",IF(W312="高",3,IF(W312="中",2,IF(W312="低",1,0)))+IF(M312="◎",1,0)+IF(N312="◎",1,0)+IF(O312="○",1,0)+IF(P312="○",1,0),"")</f>
        <v/>
      </c>
      <c r="Y312" s="20"/>
      <c r="Z312" s="18"/>
      <c r="AA312" s="20"/>
      <c r="AB312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711</v>
      </c>
    </row>
    <row r="3" customFormat="false" ht="15" hidden="false" customHeight="false" outlineLevel="0" collapsed="false">
      <c r="A3" s="21" t="s">
        <v>712</v>
      </c>
    </row>
    <row r="4" customFormat="false" ht="15" hidden="false" customHeight="false" outlineLevel="0" collapsed="false">
      <c r="A4" s="4" t="s">
        <v>713</v>
      </c>
      <c r="B4" s="4" t="s">
        <v>714</v>
      </c>
      <c r="C4" s="4" t="s">
        <v>715</v>
      </c>
      <c r="D4" s="4" t="s">
        <v>716</v>
      </c>
    </row>
    <row r="5" customFormat="false" ht="15" hidden="false" customHeight="false" outlineLevel="0" collapsed="false">
      <c r="A5" s="14" t="s">
        <v>717</v>
      </c>
      <c r="B5" s="14" t="n">
        <f aca="false">COUNTIF(②顧問先マスター!$L$5:$L$312,"上位20%")</f>
        <v>0</v>
      </c>
      <c r="C5" s="22" t="n">
        <f aca="false">SUMIFS(②顧問先マスター!$I$5:$I$312,②顧問先マスター!$L$5:$L$312,"上位20%")</f>
        <v>0</v>
      </c>
      <c r="D5" s="23" t="n">
        <f aca="false">IF(SUMPRODUCT(②顧問先マスター!$J$5:$J$312,N(②顧問先マスター!$I$5:$I$312))=0,0,C5/SUMPRODUCT(②顧問先マスター!$J$5:$J$312,N(②顧問先マスター!$I$5:$I$312)))</f>
        <v>0</v>
      </c>
    </row>
    <row r="6" customFormat="false" ht="15" hidden="false" customHeight="false" outlineLevel="0" collapsed="false">
      <c r="A6" s="14" t="s">
        <v>718</v>
      </c>
      <c r="B6" s="14" t="n">
        <f aca="false">COUNTIF(②顧問先マスター!$L$5:$L$312,"中位60%")</f>
        <v>0</v>
      </c>
      <c r="C6" s="22" t="n">
        <f aca="false">SUMIFS(②顧問先マスター!$I$5:$I$312,②顧問先マスター!$L$5:$L$312,"中位60%")</f>
        <v>0</v>
      </c>
      <c r="D6" s="23" t="n">
        <f aca="false">IF(SUMPRODUCT(②顧問先マスター!$J$5:$J$312,N(②顧問先マスター!$I$5:$I$312))=0,0,C6/SUMPRODUCT(②顧問先マスター!$J$5:$J$312,N(②顧問先マスター!$I$5:$I$312)))</f>
        <v>0</v>
      </c>
    </row>
    <row r="7" customFormat="false" ht="15" hidden="false" customHeight="false" outlineLevel="0" collapsed="false">
      <c r="A7" s="14" t="s">
        <v>719</v>
      </c>
      <c r="B7" s="14" t="n">
        <f aca="false">COUNTIF(②顧問先マスター!$L$5:$L$312,"下位20%")</f>
        <v>0</v>
      </c>
      <c r="C7" s="22" t="n">
        <f aca="false">SUMIFS(②顧問先マスター!$I$5:$I$312,②顧問先マスター!$L$5:$L$312,"下位20%")</f>
        <v>0</v>
      </c>
      <c r="D7" s="23" t="n">
        <f aca="false">IF(SUMPRODUCT(②顧問先マスター!$J$5:$J$312,N(②顧問先マスター!$I$5:$I$312))=0,0,C7/SUMPRODUCT(②顧問先マスター!$J$5:$J$312,N(②顧問先マスター!$I$5:$I$312)))</f>
        <v>0</v>
      </c>
    </row>
    <row r="8" customFormat="false" ht="15" hidden="false" customHeight="false" outlineLevel="0" collapsed="false">
      <c r="A8" s="21" t="s">
        <v>720</v>
      </c>
      <c r="B8" s="14" t="n">
        <f aca="false">SUM(B5:B7)</f>
        <v>0</v>
      </c>
      <c r="C8" s="22" t="n">
        <f aca="false">SUM(C5:C7)</f>
        <v>0</v>
      </c>
      <c r="D8" s="23" t="n">
        <f aca="false">SUM(D5:D7)</f>
        <v>0</v>
      </c>
    </row>
    <row r="10" customFormat="false" ht="15" hidden="false" customHeight="false" outlineLevel="0" collapsed="false">
      <c r="A10" s="14" t="s">
        <v>721</v>
      </c>
    </row>
    <row r="12" customFormat="false" ht="15" hidden="false" customHeight="false" outlineLevel="0" collapsed="false">
      <c r="A12" s="21" t="s">
        <v>722</v>
      </c>
    </row>
    <row r="13" customFormat="false" ht="15" hidden="false" customHeight="false" outlineLevel="0" collapsed="false">
      <c r="A13" s="4" t="s">
        <v>723</v>
      </c>
      <c r="B13" s="4" t="s">
        <v>724</v>
      </c>
    </row>
    <row r="14" customFormat="false" ht="15" hidden="false" customHeight="false" outlineLevel="0" collapsed="false">
      <c r="A14" s="14" t="s">
        <v>725</v>
      </c>
      <c r="B14" s="14" t="n">
        <f aca="false">COUNTIF(②顧問先マスター!$L$5:$L$312,"中位60%")</f>
        <v>0</v>
      </c>
    </row>
    <row r="15" customFormat="false" ht="15" hidden="false" customHeight="false" outlineLevel="0" collapsed="false">
      <c r="A15" s="14" t="s">
        <v>726</v>
      </c>
      <c r="B15" s="22" t="n">
        <f aca="false">B14*100000</f>
        <v>0</v>
      </c>
    </row>
    <row r="16" customFormat="false" ht="15" hidden="false" customHeight="false" outlineLevel="0" collapsed="false">
      <c r="A16" s="14" t="s">
        <v>727</v>
      </c>
      <c r="B16" s="22" t="n">
        <f aca="false">SUMIFS(②顧問先マスター!$Z$5:$Z$312,②顧問先マスター!$L$5:$L$312,"中位60%")</f>
        <v>0</v>
      </c>
    </row>
    <row r="17" customFormat="false" ht="15" hidden="false" customHeight="false" outlineLevel="0" collapsed="false">
      <c r="A17" s="14" t="s">
        <v>728</v>
      </c>
      <c r="B17" s="14" t="n">
        <f aca="false">SUMPRODUCT((N(②顧問先マスター!$X$5:$X$312)&gt;=4)*(②顧問先マスター!$L$5:$L$312="中位60%"))</f>
        <v>0</v>
      </c>
    </row>
    <row r="19" customFormat="false" ht="15" hidden="false" customHeight="false" outlineLevel="0" collapsed="false">
      <c r="A19" s="21" t="s">
        <v>729</v>
      </c>
    </row>
    <row r="20" customFormat="false" ht="15" hidden="false" customHeight="false" outlineLevel="0" collapsed="false">
      <c r="A20" s="4" t="s">
        <v>35</v>
      </c>
      <c r="B20" s="4" t="s">
        <v>730</v>
      </c>
      <c r="C20" s="4" t="s">
        <v>731</v>
      </c>
    </row>
    <row r="21" customFormat="false" ht="15" hidden="false" customHeight="false" outlineLevel="0" collapsed="false">
      <c r="A21" s="14" t="s">
        <v>79</v>
      </c>
      <c r="B21" s="14" t="n">
        <f aca="false">COUNTIFS(②顧問先マスター!$E$5:$E$312,A21,②顧問先マスター!$L$5:$L$312,"中位60%")</f>
        <v>0</v>
      </c>
      <c r="C21" s="22" t="n">
        <f aca="false">SUMIFS(②顧問先マスター!$Z$5:$Z$312,②顧問先マスター!$E$5:$E$312,A21,②顧問先マスター!$L$5:$L$312,"中位60%")</f>
        <v>0</v>
      </c>
    </row>
    <row r="22" customFormat="false" ht="15" hidden="false" customHeight="false" outlineLevel="0" collapsed="false">
      <c r="A22" s="14" t="s">
        <v>101</v>
      </c>
      <c r="B22" s="14" t="n">
        <f aca="false">COUNTIFS(②顧問先マスター!$E$5:$E$312,A22,②顧問先マスター!$L$5:$L$312,"中位60%")</f>
        <v>0</v>
      </c>
      <c r="C22" s="22" t="n">
        <f aca="false">SUMIFS(②顧問先マスター!$Z$5:$Z$312,②顧問先マスター!$E$5:$E$312,A22,②顧問先マスター!$L$5:$L$312,"中位60%")</f>
        <v>0</v>
      </c>
    </row>
    <row r="23" customFormat="false" ht="15" hidden="false" customHeight="false" outlineLevel="0" collapsed="false">
      <c r="A23" s="14" t="s">
        <v>75</v>
      </c>
      <c r="B23" s="14" t="n">
        <f aca="false">COUNTIFS(②顧問先マスター!$E$5:$E$312,A23,②顧問先マスター!$L$5:$L$312,"中位60%")</f>
        <v>0</v>
      </c>
      <c r="C23" s="22" t="n">
        <f aca="false">SUMIFS(②顧問先マスター!$Z$5:$Z$312,②顧問先マスター!$E$5:$E$312,A23,②顧問先マスター!$L$5:$L$312,"中位60%")</f>
        <v>0</v>
      </c>
    </row>
    <row r="24" customFormat="false" ht="15" hidden="false" customHeight="false" outlineLevel="0" collapsed="false">
      <c r="A24" s="14" t="s">
        <v>117</v>
      </c>
      <c r="B24" s="14" t="n">
        <f aca="false">COUNTIFS(②顧問先マスター!$E$5:$E$312,A24,②顧問先マスター!$L$5:$L$312,"中位60%")</f>
        <v>0</v>
      </c>
      <c r="C24" s="22" t="n">
        <f aca="false">SUMIFS(②顧問先マスター!$Z$5:$Z$312,②顧問先マスター!$E$5:$E$312,A24,②顧問先マスター!$L$5:$L$312,"中位60%")</f>
        <v>0</v>
      </c>
    </row>
    <row r="25" customFormat="false" ht="15" hidden="false" customHeight="false" outlineLevel="0" collapsed="false">
      <c r="A25" s="14" t="s">
        <v>91</v>
      </c>
      <c r="B25" s="14" t="n">
        <f aca="false">COUNTIFS(②顧問先マスター!$E$5:$E$312,A25,②顧問先マスター!$L$5:$L$312,"中位60%")</f>
        <v>0</v>
      </c>
      <c r="C25" s="22" t="n">
        <f aca="false">SUMIFS(②顧問先マスター!$Z$5:$Z$312,②顧問先マスター!$E$5:$E$312,A25,②顧問先マスター!$L$5:$L$312,"中位60%")</f>
        <v>0</v>
      </c>
    </row>
    <row r="26" customFormat="false" ht="15" hidden="false" customHeight="false" outlineLevel="0" collapsed="false">
      <c r="A26" s="14" t="s">
        <v>62</v>
      </c>
      <c r="B26" s="14" t="n">
        <f aca="false">COUNTIFS(②顧問先マスター!$E$5:$E$312,A26,②顧問先マスター!$L$5:$L$312,"中位60%")</f>
        <v>0</v>
      </c>
      <c r="C26" s="22" t="n">
        <f aca="false">SUMIFS(②顧問先マスター!$Z$5:$Z$312,②顧問先マスター!$E$5:$E$312,A26,②顧問先マスター!$L$5:$L$312,"中位60%")</f>
        <v>0</v>
      </c>
    </row>
    <row r="27" customFormat="false" ht="15" hidden="false" customHeight="false" outlineLevel="0" collapsed="false">
      <c r="A27" s="14" t="s">
        <v>83</v>
      </c>
      <c r="B27" s="14" t="n">
        <f aca="false">COUNTIFS(②顧問先マスター!$E$5:$E$312,A27,②顧問先マスター!$L$5:$L$312,"中位60%")</f>
        <v>0</v>
      </c>
      <c r="C27" s="22" t="n">
        <f aca="false">SUMIFS(②顧問先マスター!$Z$5:$Z$312,②顧問先マスター!$E$5:$E$312,A27,②顧問先マスター!$L$5:$L$312,"中位60%")</f>
        <v>0</v>
      </c>
    </row>
    <row r="28" customFormat="false" ht="15" hidden="false" customHeight="false" outlineLevel="0" collapsed="false">
      <c r="A28" s="14" t="s">
        <v>94</v>
      </c>
      <c r="B28" s="14" t="n">
        <f aca="false">COUNTIFS(②顧問先マスター!$E$5:$E$312,A28,②顧問先マスター!$L$5:$L$312,"中位60%")</f>
        <v>0</v>
      </c>
      <c r="C28" s="22" t="n">
        <f aca="false">SUMIFS(②顧問先マスター!$Z$5:$Z$312,②顧問先マスター!$E$5:$E$312,A28,②顧問先マスター!$L$5:$L$312,"中位60%")</f>
        <v>0</v>
      </c>
    </row>
    <row r="29" customFormat="false" ht="15" hidden="false" customHeight="false" outlineLevel="0" collapsed="false">
      <c r="A29" s="14" t="s">
        <v>222</v>
      </c>
      <c r="B29" s="14" t="n">
        <f aca="false">COUNTIFS(②顧問先マスター!$E$5:$E$312,A29,②顧問先マスター!$L$5:$L$312,"中位60%")</f>
        <v>0</v>
      </c>
      <c r="C29" s="22" t="n">
        <f aca="false">SUMIFS(②顧問先マスター!$Z$5:$Z$312,②顧問先マスター!$E$5:$E$312,A29,②顧問先マスター!$L$5:$L$312,"中位60%")</f>
        <v>0</v>
      </c>
    </row>
    <row r="30" customFormat="false" ht="15" hidden="false" customHeight="false" outlineLevel="0" collapsed="false">
      <c r="A30" s="14" t="s">
        <v>530</v>
      </c>
      <c r="B30" s="14" t="n">
        <f aca="false">COUNTIFS(②顧問先マスター!$E$5:$E$312,A30,②顧問先マスター!$L$5:$L$312,"中位60%")</f>
        <v>0</v>
      </c>
      <c r="C30" s="22" t="n">
        <f aca="false">SUMIFS(②顧問先マスター!$Z$5:$Z$312,②顧問先マスター!$E$5:$E$312,A30,②顧問先マスター!$L$5:$L$312,"中位60%")</f>
        <v>0</v>
      </c>
    </row>
    <row r="31" customFormat="false" ht="15" hidden="false" customHeight="false" outlineLevel="0" collapsed="false">
      <c r="A31" s="14" t="s">
        <v>455</v>
      </c>
      <c r="B31" s="14" t="n">
        <f aca="false">COUNTIFS(②顧問先マスター!$E$5:$E$312,A31,②顧問先マスター!$L$5:$L$312,"中位60%")</f>
        <v>0</v>
      </c>
      <c r="C31" s="22" t="n">
        <f aca="false">SUMIFS(②顧問先マスター!$Z$5:$Z$312,②顧問先マスター!$E$5:$E$312,A31,②顧問先マスター!$L$5:$L$312,"中位60%")</f>
        <v>0</v>
      </c>
    </row>
    <row r="32" customFormat="false" ht="15" hidden="false" customHeight="false" outlineLevel="0" collapsed="false">
      <c r="A32" s="14" t="s">
        <v>484</v>
      </c>
      <c r="B32" s="14" t="n">
        <f aca="false">COUNTIFS(②顧問先マスター!$E$5:$E$312,A32,②顧問先マスター!$L$5:$L$312,"中位60%")</f>
        <v>0</v>
      </c>
      <c r="C32" s="22" t="n">
        <f aca="false">SUMIFS(②顧問先マスター!$Z$5:$Z$312,②顧問先マスター!$E$5:$E$312,A32,②顧問先マスター!$L$5:$L$312,"中位60%")</f>
        <v>0</v>
      </c>
    </row>
    <row r="33" customFormat="false" ht="15" hidden="false" customHeight="false" outlineLevel="0" collapsed="false">
      <c r="A33" s="14" t="s">
        <v>516</v>
      </c>
      <c r="B33" s="14" t="n">
        <f aca="false">COUNTIFS(②顧問先マスター!$E$5:$E$312,A33,②顧問先マスター!$L$5:$L$312,"中位60%")</f>
        <v>0</v>
      </c>
      <c r="C33" s="22" t="n">
        <f aca="false">SUMIFS(②顧問先マスター!$Z$5:$Z$312,②顧問先マスター!$E$5:$E$312,A33,②顧問先マスター!$L$5:$L$312,"中位60%")</f>
        <v>0</v>
      </c>
    </row>
    <row r="34" customFormat="false" ht="15" hidden="false" customHeight="false" outlineLevel="0" collapsed="false">
      <c r="A34" s="14" t="s">
        <v>527</v>
      </c>
      <c r="B34" s="14" t="n">
        <f aca="false">COUNTIFS(②顧問先マスター!$E$5:$E$312,A34,②顧問先マスター!$L$5:$L$312,"中位60%")</f>
        <v>0</v>
      </c>
      <c r="C34" s="22" t="n">
        <f aca="false">SUMIFS(②顧問先マスター!$Z$5:$Z$312,②顧問先マスター!$E$5:$E$312,A34,②顧問先マスター!$L$5:$L$312,"中位60%")</f>
        <v>0</v>
      </c>
    </row>
    <row r="35" customFormat="false" ht="15" hidden="false" customHeight="false" outlineLevel="0" collapsed="false">
      <c r="A35" s="14" t="s">
        <v>646</v>
      </c>
      <c r="B35" s="14" t="n">
        <f aca="false">COUNTIFS(②顧問先マスター!$E$5:$E$312,A35,②顧問先マスター!$L$5:$L$312,"中位60%")</f>
        <v>0</v>
      </c>
      <c r="C35" s="22" t="n">
        <f aca="false">SUMIFS(②顧問先マスター!$Z$5:$Z$312,②顧問先マスター!$E$5:$E$312,A35,②顧問先マスター!$L$5:$L$312,"中位60%")</f>
        <v>0</v>
      </c>
    </row>
    <row r="36" customFormat="false" ht="15" hidden="false" customHeight="false" outlineLevel="0" collapsed="false">
      <c r="A36" s="14" t="s">
        <v>732</v>
      </c>
      <c r="B36" s="14" t="n">
        <f aca="false">COUNTIFS(②顧問先マスター!$E$5:$E$312,"",②顧問先マスター!$L$5:$L$312,"中位60%")</f>
        <v>0</v>
      </c>
      <c r="C36" s="22" t="n">
        <f aca="false">SUMIFS(②顧問先マスター!$Z$5:$Z$312,②顧問先マスター!$E$5:$E$312,"",②顧問先マスター!$L$5:$L$312,"中位60%")</f>
        <v>0</v>
      </c>
    </row>
    <row r="38" customFormat="false" ht="15" hidden="false" customHeight="false" outlineLevel="0" collapsed="false">
      <c r="A38" s="21" t="s">
        <v>733</v>
      </c>
    </row>
    <row r="39" customFormat="false" ht="15" hidden="false" customHeight="false" outlineLevel="0" collapsed="false">
      <c r="A39" s="4" t="s">
        <v>58</v>
      </c>
      <c r="B39" s="4" t="s">
        <v>714</v>
      </c>
    </row>
    <row r="40" customFormat="false" ht="15" hidden="false" customHeight="false" outlineLevel="0" collapsed="false">
      <c r="A40" s="14" t="s">
        <v>72</v>
      </c>
      <c r="B40" s="14" t="n">
        <f aca="false">COUNTIFS(②顧問先マスター!$AB$5:$AB$312,"提案準備中",②顧問先マスター!$L$5:$L$312,"中位60%")</f>
        <v>0</v>
      </c>
    </row>
    <row r="41" customFormat="false" ht="15" hidden="false" customHeight="false" outlineLevel="0" collapsed="false">
      <c r="A41" s="14" t="s">
        <v>734</v>
      </c>
      <c r="B41" s="14" t="n">
        <f aca="false">COUNTIFS(②顧問先マスター!$AB$5:$AB$312,"提案済",②顧問先マスター!$L$5:$L$312,"中位60%")</f>
        <v>0</v>
      </c>
    </row>
    <row r="42" customFormat="false" ht="15" hidden="false" customHeight="false" outlineLevel="0" collapsed="false">
      <c r="A42" s="14" t="s">
        <v>735</v>
      </c>
      <c r="B42" s="14" t="n">
        <f aca="false">COUNTIFS(②顧問先マスター!$AB$5:$AB$312,"受注",②顧問先マスター!$L$5:$L$312,"中位60%")</f>
        <v>0</v>
      </c>
    </row>
    <row r="43" customFormat="false" ht="15" hidden="false" customHeight="false" outlineLevel="0" collapsed="false">
      <c r="A43" s="14" t="s">
        <v>736</v>
      </c>
      <c r="B43" s="14" t="n">
        <f aca="false">COUNTIFS(②顧問先マスター!$AB$5:$AB$312,"見送り",②顧問先マスター!$L$5:$L$312,"中位60%")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2026-07-18T05:15:52Z</dcterms:created>
  <dc:creator>openpyxl</dc:creator>
  <dc:description/>
  <dc:language>en-US</dc:language>
  <cp:lastModifiedBy/>
  <dcterms:modified xsi:type="dcterms:W3CDTF">2026-07-18T05:15:52Z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